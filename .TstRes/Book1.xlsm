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rinterSettings/printerSettings1.bin" ContentType="application/vnd.openxmlformats-officedocument.spreadsheetml.printerSettings"/>
  <Override PartName="/xl/tables/table7.xml" ContentType="application/vnd.openxmlformats-officedocument.spreadsheetml.table+xml"/>
  <Override PartName="/xl/printerSettings/printerSettings2.bin" ContentType="application/vnd.openxmlformats-officedocument.spreadsheetml.printerSettings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Projects\Vba\QLib\.Src\QLib.xlam\.TstRes\"/>
    </mc:Choice>
  </mc:AlternateContent>
  <xr:revisionPtr revIDLastSave="0" documentId="8_{F8EC243A-EFF9-4637-973F-A0F6BF6BF300}" xr6:coauthVersionLast="43" xr6:coauthVersionMax="43" xr10:uidLastSave="{00000000-0000-0000-0000-000000000000}"/>
  <bookViews>
    <workbookView xWindow="-110" yWindow="-110" windowWidth="19420" windowHeight="10420" activeTab="1" xr2:uid="{9279AAFF-77F1-4985-B908-71B99CAE7041}"/>
  </bookViews>
  <sheets>
    <sheet name="SrcCd" sheetId="11" r:id="rId1"/>
    <sheet name="Src" sheetId="4" r:id="rId2"/>
    <sheet name="Key" sheetId="9" r:id="rId3"/>
    <sheet name="Rmk" sheetId="6" r:id="rId4"/>
    <sheet name="Const" sheetId="3" r:id="rId5"/>
    <sheet name="ZZ" sheetId="1" r:id="rId6"/>
    <sheet name="Y" sheetId="2" r:id="rId7"/>
    <sheet name="MthLinSeq" sheetId="7" r:id="rId8"/>
    <sheet name="GenPgm" sheetId="10" r:id="rId9"/>
  </sheets>
  <functionGroups builtInGroupCount="19"/>
  <externalReferences>
    <externalReference r:id="rId10"/>
  </externalReferences>
  <definedNames>
    <definedName name="Fm1Col">Src!$M$1</definedName>
    <definedName name="Fm2Col">Src!$N$1</definedName>
    <definedName name="Fm3Col">Src!$O$1</definedName>
    <definedName name="Fm4Col">Src!$P$1</definedName>
    <definedName name="Fm5Col">Src!$Q$1</definedName>
    <definedName name="Keys">T_Src[Key]</definedName>
    <definedName name="NKey">T_Src[[#Totals],[Key]]</definedName>
    <definedName name="Stp_IInpFil">Src!$A$7</definedName>
    <definedName name="Stp_ILnkImp">Src!$A$8</definedName>
    <definedName name="Stp_InpFilSrc">Src!$A$5</definedName>
    <definedName name="Stp_JFbTbl">Src!$A$12</definedName>
    <definedName name="Stp_JFxTbl">Src!$A$11</definedName>
    <definedName name="Stp_JStru">Src!$A$9</definedName>
    <definedName name="Stp_JStruF">Src!$A$10</definedName>
    <definedName name="Stp_JTblWh">Src!$A$13</definedName>
    <definedName name="Stp_LnkImp">Src!$A$50</definedName>
    <definedName name="Stp_LnkImpSrc">Src!$A$6</definedName>
    <definedName name="Stp_OB_All">Src!$A$41</definedName>
    <definedName name="Stp_OB_FbnNDef">Src!$A$39</definedName>
    <definedName name="Stp_OB_FbtMis">Src!$A$40</definedName>
    <definedName name="Stp_OB_StruNDef">Src!$A$38</definedName>
    <definedName name="Stp_OEr">Src!$A$46</definedName>
    <definedName name="Stp_OS_1">Src!$A$31</definedName>
    <definedName name="Stp_OS_2">Src!$A$32</definedName>
    <definedName name="Stp_OS_All">Src!$A$33</definedName>
    <definedName name="Stp_OS_FldDup">Src!$A$24</definedName>
    <definedName name="Stp_OS_FldMis">Src!$A$30</definedName>
    <definedName name="Stp_OS_FldTyEr">Src!$A$26</definedName>
    <definedName name="Stp_OS_FxFldTyMis">Src!$A$29</definedName>
    <definedName name="Stp_OS_StruDup">Src!$A$25</definedName>
    <definedName name="Stp_OS_StruExcess">Src!$A$27</definedName>
    <definedName name="Stp_OS_StruInUse">Src!$A$28</definedName>
    <definedName name="Stp_OThwIfEr">Src!$A$47</definedName>
    <definedName name="Stp_OU_All">Src!$A$22</definedName>
    <definedName name="Stp_OU_FbtNFnd">Src!$A$18</definedName>
    <definedName name="Stp_OU_FfnNFnd">Src!$A$17</definedName>
    <definedName name="Stp_OU_FxExtnNFnd">Src!$A$20</definedName>
    <definedName name="Stp_OU_FxFldTyNMch">Src!$A$21</definedName>
    <definedName name="Stp_OU_ThwIfEr">Src!$A$23</definedName>
    <definedName name="Stp_OU_WsnNFnd">Src!$A$19</definedName>
    <definedName name="Stp_OW_All">Src!$A$45</definedName>
    <definedName name="Stp_OW_TblDup">Src!$A$42</definedName>
    <definedName name="Stp_OW_TblExcess">Src!$A$44</definedName>
    <definedName name="Stp_OW_TblNDef">Src!$A$43</definedName>
    <definedName name="Stp_OX_All">Src!$A$37</definedName>
    <definedName name="Stp_OX_FxtDup">Src!$A$35</definedName>
    <definedName name="Stp_OX_FxtNDef">Src!$A$36</definedName>
    <definedName name="Stp_OX_StruNDef">Src!$A$34</definedName>
    <definedName name="Stp_RsltCn">Src!$A$48</definedName>
    <definedName name="Stp_RsltSql">Src!$A$49</definedName>
    <definedName name="Stp_TATblFld">Src!$A$16</definedName>
    <definedName name="Stp_TETblFld">Src!$A$15</definedName>
    <definedName name="Stp_TTbl">Src!$A$14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X35" i="2" l="1"/>
  <c r="X34" i="2"/>
  <c r="X33" i="2"/>
  <c r="X32" i="2"/>
  <c r="X31" i="2"/>
  <c r="X30" i="2"/>
  <c r="X29" i="2"/>
  <c r="X28" i="2"/>
  <c r="X27" i="2"/>
  <c r="X26" i="2"/>
  <c r="X25" i="2"/>
  <c r="X24" i="2"/>
  <c r="X23" i="2"/>
  <c r="X22" i="2"/>
  <c r="X21" i="2"/>
  <c r="X20" i="2"/>
  <c r="X19" i="2"/>
  <c r="X18" i="2"/>
  <c r="X17" i="2"/>
  <c r="X16" i="2"/>
  <c r="X15" i="2"/>
  <c r="X14" i="2"/>
  <c r="X13" i="2"/>
  <c r="X12" i="2"/>
  <c r="X11" i="2"/>
  <c r="X10" i="2"/>
  <c r="X9" i="2"/>
  <c r="X8" i="2"/>
  <c r="X7" i="2"/>
  <c r="X6" i="2"/>
  <c r="X5" i="2"/>
  <c r="X4" i="2"/>
  <c r="N49" i="4"/>
  <c r="M44" i="4"/>
  <c r="M43" i="4"/>
  <c r="M42" i="4"/>
  <c r="M20" i="4"/>
  <c r="M19" i="4"/>
  <c r="M18" i="4"/>
  <c r="M17" i="4"/>
  <c r="C1" i="4"/>
  <c r="A50" i="4" l="1"/>
  <c r="B50" i="4"/>
  <c r="T50" i="4"/>
  <c r="T47" i="4"/>
  <c r="B47" i="4"/>
  <c r="A47" i="4"/>
  <c r="T23" i="4"/>
  <c r="B23" i="4"/>
  <c r="A23" i="4"/>
  <c r="S50" i="4" l="1"/>
  <c r="S47" i="4"/>
  <c r="S23" i="4"/>
  <c r="T5" i="4"/>
  <c r="T6" i="4"/>
  <c r="T7" i="4"/>
  <c r="T8" i="4"/>
  <c r="T9" i="4"/>
  <c r="T10" i="4"/>
  <c r="T11" i="4"/>
  <c r="T12" i="4"/>
  <c r="T13" i="4"/>
  <c r="T14" i="4"/>
  <c r="T15" i="4"/>
  <c r="T16" i="4"/>
  <c r="T17" i="4"/>
  <c r="T18" i="4"/>
  <c r="T19" i="4"/>
  <c r="T20" i="4"/>
  <c r="T21" i="4"/>
  <c r="T22" i="4"/>
  <c r="T24" i="4"/>
  <c r="T25" i="4"/>
  <c r="T26" i="4"/>
  <c r="T27" i="4"/>
  <c r="T28" i="4"/>
  <c r="T29" i="4"/>
  <c r="T30" i="4"/>
  <c r="T31" i="4"/>
  <c r="T32" i="4"/>
  <c r="T33" i="4"/>
  <c r="T34" i="4"/>
  <c r="T35" i="4"/>
  <c r="T36" i="4"/>
  <c r="T37" i="4"/>
  <c r="T38" i="4"/>
  <c r="T39" i="4"/>
  <c r="T40" i="4"/>
  <c r="T41" i="4"/>
  <c r="T42" i="4"/>
  <c r="T43" i="4"/>
  <c r="T44" i="4"/>
  <c r="T45" i="4"/>
  <c r="T46" i="4"/>
  <c r="T48" i="4"/>
  <c r="T49" i="4"/>
  <c r="R5" i="4"/>
  <c r="R6" i="4"/>
  <c r="B1" i="4"/>
  <c r="A48" i="4"/>
  <c r="M50" i="4" s="1"/>
  <c r="R50" i="4" s="1"/>
  <c r="B48" i="4"/>
  <c r="A49" i="4"/>
  <c r="N50" i="4" s="1"/>
  <c r="B49" i="4"/>
  <c r="B46" i="4"/>
  <c r="A46" i="4"/>
  <c r="S46" i="4" s="1"/>
  <c r="B33" i="4"/>
  <c r="A33" i="4"/>
  <c r="B32" i="4"/>
  <c r="A32" i="4"/>
  <c r="N33" i="4" s="1"/>
  <c r="B31" i="4"/>
  <c r="A31" i="4"/>
  <c r="M33" i="4" s="1"/>
  <c r="B37" i="4"/>
  <c r="A37" i="4"/>
  <c r="B41" i="4"/>
  <c r="A41" i="4"/>
  <c r="A45" i="4"/>
  <c r="A22" i="4"/>
  <c r="Q23" i="4" s="1"/>
  <c r="B45" i="4"/>
  <c r="A5" i="4"/>
  <c r="M7" i="4" s="1"/>
  <c r="R7" i="4" s="1"/>
  <c r="A6" i="4"/>
  <c r="M8" i="4" s="1"/>
  <c r="R8" i="4" s="1"/>
  <c r="A7" i="4"/>
  <c r="A8" i="4"/>
  <c r="A9" i="4"/>
  <c r="A10" i="4"/>
  <c r="N15" i="4" s="1"/>
  <c r="A11" i="4"/>
  <c r="M14" i="4" s="1"/>
  <c r="R14" i="4" s="1"/>
  <c r="A12" i="4"/>
  <c r="N14" i="4" s="1"/>
  <c r="A13" i="4"/>
  <c r="A14" i="4"/>
  <c r="A15" i="4"/>
  <c r="A16" i="4"/>
  <c r="A17" i="4"/>
  <c r="M22" i="4" s="1"/>
  <c r="A18" i="4"/>
  <c r="A19" i="4"/>
  <c r="A20" i="4"/>
  <c r="A21" i="4"/>
  <c r="A24" i="4"/>
  <c r="M31" i="4" s="1"/>
  <c r="A25" i="4"/>
  <c r="N31" i="4" s="1"/>
  <c r="A26" i="4"/>
  <c r="O31" i="4" s="1"/>
  <c r="A27" i="4"/>
  <c r="P31" i="4" s="1"/>
  <c r="A28" i="4"/>
  <c r="Q31" i="4" s="1"/>
  <c r="A29" i="4"/>
  <c r="M32" i="4" s="1"/>
  <c r="A30" i="4"/>
  <c r="N32" i="4" s="1"/>
  <c r="A34" i="4"/>
  <c r="M38" i="4" s="1"/>
  <c r="A35" i="4"/>
  <c r="N38" i="4" s="1"/>
  <c r="A36" i="4"/>
  <c r="A38" i="4"/>
  <c r="M41" i="4" s="1"/>
  <c r="A39" i="4"/>
  <c r="N41" i="4" s="1"/>
  <c r="A40" i="4"/>
  <c r="O41" i="4" s="1"/>
  <c r="A42" i="4"/>
  <c r="M45" i="4" s="1"/>
  <c r="A43" i="4"/>
  <c r="N45" i="4" s="1"/>
  <c r="A44" i="4"/>
  <c r="D37" i="3"/>
  <c r="D38" i="3"/>
  <c r="D39" i="3"/>
  <c r="D40" i="3"/>
  <c r="D41" i="3"/>
  <c r="D42" i="3"/>
  <c r="D43" i="3"/>
  <c r="D44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13" i="3"/>
  <c r="D14" i="3"/>
  <c r="D15" i="3"/>
  <c r="D16" i="3"/>
  <c r="D17" i="3"/>
  <c r="D18" i="3"/>
  <c r="D19" i="3"/>
  <c r="D20" i="3"/>
  <c r="D21" i="3"/>
  <c r="D10" i="3"/>
  <c r="D11" i="3"/>
  <c r="D12" i="3"/>
  <c r="D4" i="3"/>
  <c r="D5" i="3"/>
  <c r="D6" i="3"/>
  <c r="D7" i="3"/>
  <c r="D8" i="3"/>
  <c r="D9" i="3"/>
  <c r="B22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4" i="4"/>
  <c r="B25" i="4"/>
  <c r="B26" i="4"/>
  <c r="B27" i="4"/>
  <c r="B28" i="4"/>
  <c r="B29" i="4"/>
  <c r="B30" i="4"/>
  <c r="B34" i="4"/>
  <c r="B35" i="4"/>
  <c r="B36" i="4"/>
  <c r="B38" i="4"/>
  <c r="B39" i="4"/>
  <c r="B40" i="4"/>
  <c r="B42" i="4"/>
  <c r="B43" i="4"/>
  <c r="B44" i="4"/>
  <c r="M23" i="4" l="1"/>
  <c r="N22" i="4"/>
  <c r="M49" i="4"/>
  <c r="R49" i="4" s="1"/>
  <c r="M16" i="4"/>
  <c r="R16" i="4" s="1"/>
  <c r="M48" i="4"/>
  <c r="R48" i="4" s="1"/>
  <c r="M15" i="4"/>
  <c r="R15" i="4" s="1"/>
  <c r="P47" i="4"/>
  <c r="P46" i="4"/>
  <c r="S44" i="4"/>
  <c r="O45" i="4"/>
  <c r="P23" i="4"/>
  <c r="Q22" i="4"/>
  <c r="M25" i="4"/>
  <c r="M27" i="4"/>
  <c r="M37" i="4"/>
  <c r="M34" i="4"/>
  <c r="M28" i="4"/>
  <c r="S41" i="4"/>
  <c r="N47" i="4"/>
  <c r="N46" i="4"/>
  <c r="O23" i="4"/>
  <c r="P22" i="4"/>
  <c r="M11" i="4"/>
  <c r="R11" i="4" s="1"/>
  <c r="M10" i="4"/>
  <c r="R10" i="4" s="1"/>
  <c r="M13" i="4"/>
  <c r="R13" i="4" s="1"/>
  <c r="M9" i="4"/>
  <c r="R9" i="4" s="1"/>
  <c r="M12" i="4"/>
  <c r="R12" i="4" s="1"/>
  <c r="M47" i="4"/>
  <c r="M46" i="4"/>
  <c r="N23" i="4"/>
  <c r="O22" i="4"/>
  <c r="N42" i="4"/>
  <c r="R42" i="4" s="1"/>
  <c r="N40" i="4"/>
  <c r="R40" i="4" s="1"/>
  <c r="N35" i="4"/>
  <c r="R35" i="4" s="1"/>
  <c r="N30" i="4"/>
  <c r="R30" i="4" s="1"/>
  <c r="N27" i="4"/>
  <c r="N21" i="4"/>
  <c r="R21" i="4" s="1"/>
  <c r="N17" i="4"/>
  <c r="R17" i="4" s="1"/>
  <c r="N39" i="4"/>
  <c r="R39" i="4" s="1"/>
  <c r="N37" i="4"/>
  <c r="N34" i="4"/>
  <c r="N29" i="4"/>
  <c r="R29" i="4" s="1"/>
  <c r="N24" i="4"/>
  <c r="R24" i="4" s="1"/>
  <c r="N20" i="4"/>
  <c r="R20" i="4" s="1"/>
  <c r="N44" i="4"/>
  <c r="R44" i="4" s="1"/>
  <c r="N28" i="4"/>
  <c r="N26" i="4"/>
  <c r="R26" i="4" s="1"/>
  <c r="N19" i="4"/>
  <c r="R19" i="4" s="1"/>
  <c r="N43" i="4"/>
  <c r="R43" i="4" s="1"/>
  <c r="N36" i="4"/>
  <c r="R36" i="4" s="1"/>
  <c r="N25" i="4"/>
  <c r="N18" i="4"/>
  <c r="R18" i="4" s="1"/>
  <c r="O47" i="4"/>
  <c r="O46" i="4"/>
  <c r="O38" i="4"/>
  <c r="E1" i="4"/>
  <c r="F1" i="4" s="1"/>
  <c r="G1" i="4" s="1"/>
  <c r="H1" i="4" s="1"/>
  <c r="I1" i="4" s="1"/>
  <c r="J1" i="4" s="1"/>
  <c r="K1" i="4" s="1"/>
  <c r="L1" i="4" s="1"/>
  <c r="M1" i="4" s="1"/>
  <c r="N1" i="4" s="1"/>
  <c r="O1" i="4" s="1"/>
  <c r="P1" i="4" s="1"/>
  <c r="Q1" i="4" s="1"/>
  <c r="S10" i="4"/>
  <c r="S48" i="4"/>
  <c r="S14" i="4"/>
  <c r="S6" i="4"/>
  <c r="S22" i="4"/>
  <c r="S18" i="4"/>
  <c r="S36" i="4"/>
  <c r="S15" i="4"/>
  <c r="S11" i="4"/>
  <c r="S7" i="4"/>
  <c r="S49" i="4"/>
  <c r="S45" i="4"/>
  <c r="S27" i="4"/>
  <c r="S13" i="4"/>
  <c r="S9" i="4"/>
  <c r="S16" i="4"/>
  <c r="S12" i="4"/>
  <c r="S8" i="4"/>
  <c r="S33" i="4"/>
  <c r="S39" i="4"/>
  <c r="A51" i="4"/>
  <c r="S42" i="4"/>
  <c r="S35" i="4"/>
  <c r="S40" i="4"/>
  <c r="S32" i="4"/>
  <c r="S28" i="4"/>
  <c r="S24" i="4"/>
  <c r="S19" i="4"/>
  <c r="S31" i="4"/>
  <c r="S38" i="4"/>
  <c r="S34" i="4"/>
  <c r="S30" i="4"/>
  <c r="S26" i="4"/>
  <c r="S21" i="4"/>
  <c r="S17" i="4"/>
  <c r="S5" i="4"/>
  <c r="S43" i="4"/>
  <c r="S37" i="4"/>
  <c r="S29" i="4"/>
  <c r="S25" i="4"/>
  <c r="S20" i="4"/>
  <c r="R33" i="4"/>
  <c r="R32" i="4"/>
  <c r="R31" i="4"/>
  <c r="R38" i="4"/>
  <c r="R41" i="4"/>
  <c r="A35" i="2"/>
  <c r="A27" i="2"/>
  <c r="A23" i="2"/>
  <c r="A14" i="2"/>
  <c r="A6" i="2"/>
  <c r="A30" i="2"/>
  <c r="A12" i="2"/>
  <c r="A8" i="2"/>
  <c r="A4" i="2"/>
  <c r="A31" i="2"/>
  <c r="A18" i="2"/>
  <c r="A34" i="2"/>
  <c r="A26" i="2"/>
  <c r="A22" i="2"/>
  <c r="A16" i="2"/>
  <c r="A32" i="2"/>
  <c r="A28" i="2"/>
  <c r="A24" i="2"/>
  <c r="A20" i="2"/>
  <c r="B94" i="9"/>
  <c r="B66" i="9"/>
  <c r="B100" i="9"/>
  <c r="B40" i="9"/>
  <c r="B99" i="9"/>
  <c r="B96" i="9"/>
  <c r="B9" i="9"/>
  <c r="B22" i="9"/>
  <c r="B129" i="9"/>
  <c r="B109" i="9"/>
  <c r="B52" i="9"/>
  <c r="B86" i="9"/>
  <c r="B51" i="9"/>
  <c r="B48" i="9"/>
  <c r="B35" i="9"/>
  <c r="B107" i="9"/>
  <c r="B79" i="9"/>
  <c r="B76" i="9"/>
  <c r="B119" i="9"/>
  <c r="B82" i="9"/>
  <c r="B101" i="9"/>
  <c r="B10" i="9"/>
  <c r="B117" i="9"/>
  <c r="B61" i="9"/>
  <c r="B27" i="9"/>
  <c r="B28" i="9"/>
  <c r="B19" i="9"/>
  <c r="B93" i="9"/>
  <c r="B104" i="9"/>
  <c r="B33" i="9"/>
  <c r="B21" i="9"/>
  <c r="B110" i="9"/>
  <c r="B39" i="9"/>
  <c r="B41" i="9"/>
  <c r="B125" i="9"/>
  <c r="B6" i="9"/>
  <c r="B43" i="9"/>
  <c r="B77" i="9"/>
  <c r="B54" i="9"/>
  <c r="B32" i="9"/>
  <c r="B75" i="9"/>
  <c r="B14" i="9"/>
  <c r="B123" i="9"/>
  <c r="B74" i="9"/>
  <c r="B11" i="9"/>
  <c r="B29" i="9"/>
  <c r="B131" i="9"/>
  <c r="B56" i="9"/>
  <c r="B84" i="9"/>
  <c r="B103" i="9"/>
  <c r="B47" i="9"/>
  <c r="B44" i="9"/>
  <c r="B55" i="9"/>
  <c r="B121" i="9"/>
  <c r="B5" i="9"/>
  <c r="B65" i="9"/>
  <c r="B53" i="9"/>
  <c r="B36" i="9"/>
  <c r="B69" i="9"/>
  <c r="B126" i="9"/>
  <c r="B98" i="9"/>
  <c r="B132" i="9"/>
  <c r="B72" i="9"/>
  <c r="B115" i="9"/>
  <c r="B112" i="9"/>
  <c r="B105" i="9"/>
  <c r="B118" i="9"/>
  <c r="B25" i="9"/>
  <c r="B17" i="9"/>
  <c r="B78" i="9"/>
  <c r="B49" i="9"/>
  <c r="B122" i="9"/>
  <c r="B134" i="9"/>
  <c r="B106" i="9"/>
  <c r="B23" i="9"/>
  <c r="B95" i="9"/>
  <c r="B92" i="9"/>
  <c r="B59" i="9"/>
  <c r="B38" i="9"/>
  <c r="B120" i="9"/>
  <c r="B127" i="9"/>
  <c r="B102" i="9"/>
  <c r="B130" i="9"/>
  <c r="B46" i="9"/>
  <c r="B34" i="9"/>
  <c r="B83" i="9"/>
  <c r="B111" i="9"/>
  <c r="B108" i="9"/>
  <c r="B73" i="9"/>
  <c r="B91" i="9"/>
  <c r="B26" i="9"/>
  <c r="B70" i="9"/>
  <c r="B42" i="9"/>
  <c r="B114" i="9"/>
  <c r="B63" i="9"/>
  <c r="B60" i="9"/>
  <c r="B87" i="9"/>
  <c r="B50" i="9"/>
  <c r="B37" i="9"/>
  <c r="B97" i="9"/>
  <c r="B85" i="9"/>
  <c r="B116" i="9"/>
  <c r="B58" i="9"/>
  <c r="B30" i="9"/>
  <c r="B133" i="9"/>
  <c r="B68" i="9"/>
  <c r="B8" i="9"/>
  <c r="B67" i="9"/>
  <c r="B64" i="9"/>
  <c r="B71" i="9"/>
  <c r="B13" i="9"/>
  <c r="B57" i="9"/>
  <c r="B45" i="9"/>
  <c r="B4" i="9"/>
  <c r="B113" i="9"/>
  <c r="B15" i="9"/>
  <c r="B16" i="9"/>
  <c r="B2" i="9"/>
  <c r="B18" i="9"/>
  <c r="B89" i="9"/>
  <c r="B20" i="9"/>
  <c r="B31" i="9"/>
  <c r="B3" i="9"/>
  <c r="B124" i="9"/>
  <c r="B90" i="9"/>
  <c r="B7" i="9"/>
  <c r="B12" i="9"/>
  <c r="B88" i="9"/>
  <c r="B128" i="9"/>
  <c r="B62" i="9"/>
  <c r="B24" i="9"/>
  <c r="B80" i="9"/>
  <c r="B81" i="9"/>
  <c r="R47" i="4" l="1"/>
  <c r="R34" i="4"/>
  <c r="R37" i="4"/>
  <c r="R27" i="4"/>
  <c r="R46" i="4"/>
  <c r="R28" i="4"/>
  <c r="R25" i="4"/>
  <c r="R22" i="4"/>
  <c r="R23" i="4"/>
  <c r="A40" i="6"/>
  <c r="E40" i="6" s="1"/>
  <c r="A41" i="3"/>
  <c r="C41" i="3" s="1"/>
  <c r="A40" i="1"/>
  <c r="F40" i="1" s="1"/>
  <c r="G40" i="1" s="1"/>
  <c r="A19" i="1"/>
  <c r="B19" i="1" s="1"/>
  <c r="A20" i="3"/>
  <c r="A19" i="6"/>
  <c r="B19" i="6" s="1"/>
  <c r="A4" i="3"/>
  <c r="B4" i="3" s="1"/>
  <c r="E4" i="3" s="1"/>
  <c r="A3" i="1"/>
  <c r="F3" i="1" s="1"/>
  <c r="G3" i="1" s="1"/>
  <c r="A3" i="6"/>
  <c r="B3" i="6" s="1"/>
  <c r="A8" i="3"/>
  <c r="B8" i="3" s="1"/>
  <c r="E8" i="3" s="1"/>
  <c r="A7" i="6"/>
  <c r="E7" i="6" s="1"/>
  <c r="A7" i="1"/>
  <c r="B7" i="1" s="1"/>
  <c r="A22" i="1"/>
  <c r="F22" i="1" s="1"/>
  <c r="G22" i="1" s="1"/>
  <c r="A22" i="6"/>
  <c r="B22" i="6" s="1"/>
  <c r="A23" i="3"/>
  <c r="B23" i="3" s="1"/>
  <c r="A18" i="3"/>
  <c r="B18" i="3" s="1"/>
  <c r="A17" i="1"/>
  <c r="B17" i="1" s="1"/>
  <c r="A17" i="6"/>
  <c r="B17" i="6" s="1"/>
  <c r="A39" i="6"/>
  <c r="E39" i="6" s="1"/>
  <c r="A40" i="3"/>
  <c r="C40" i="3" s="1"/>
  <c r="A39" i="1"/>
  <c r="F39" i="1" s="1"/>
  <c r="G39" i="1" s="1"/>
  <c r="A35" i="3"/>
  <c r="B35" i="3" s="1"/>
  <c r="A34" i="1"/>
  <c r="F34" i="1" s="1"/>
  <c r="G34" i="1" s="1"/>
  <c r="A34" i="6"/>
  <c r="E34" i="6" s="1"/>
  <c r="A17" i="3"/>
  <c r="B17" i="3" s="1"/>
  <c r="A16" i="1"/>
  <c r="A16" i="6"/>
  <c r="E16" i="6" s="1"/>
  <c r="A26" i="3"/>
  <c r="B26" i="3" s="1"/>
  <c r="A25" i="1"/>
  <c r="F25" i="1" s="1"/>
  <c r="G25" i="1" s="1"/>
  <c r="A25" i="6"/>
  <c r="E25" i="6" s="1"/>
  <c r="A5" i="1"/>
  <c r="B5" i="1" s="1"/>
  <c r="A5" i="6"/>
  <c r="B5" i="6" s="1"/>
  <c r="A6" i="3"/>
  <c r="B6" i="3" s="1"/>
  <c r="E6" i="3" s="1"/>
  <c r="A42" i="6"/>
  <c r="E42" i="6" s="1"/>
  <c r="A43" i="3"/>
  <c r="C43" i="3" s="1"/>
  <c r="A42" i="1"/>
  <c r="B42" i="1" s="1"/>
  <c r="A20" i="1"/>
  <c r="A20" i="6"/>
  <c r="E20" i="6" s="1"/>
  <c r="A21" i="3"/>
  <c r="B21" i="3" s="1"/>
  <c r="A35" i="1"/>
  <c r="F35" i="1" s="1"/>
  <c r="G35" i="1" s="1"/>
  <c r="A36" i="3"/>
  <c r="A35" i="6"/>
  <c r="A29" i="1"/>
  <c r="B29" i="1" s="1"/>
  <c r="A29" i="6"/>
  <c r="B29" i="6" s="1"/>
  <c r="A30" i="3"/>
  <c r="B30" i="3" s="1"/>
  <c r="A28" i="6"/>
  <c r="B28" i="6" s="1"/>
  <c r="A29" i="3"/>
  <c r="B29" i="3" s="1"/>
  <c r="A28" i="1"/>
  <c r="A15" i="3"/>
  <c r="B15" i="3" s="1"/>
  <c r="A14" i="6"/>
  <c r="E14" i="6" s="1"/>
  <c r="A14" i="1"/>
  <c r="A25" i="3"/>
  <c r="B25" i="3" s="1"/>
  <c r="A24" i="1"/>
  <c r="A24" i="6"/>
  <c r="E24" i="6" s="1"/>
  <c r="A12" i="3"/>
  <c r="C12" i="3" s="1"/>
  <c r="A11" i="6"/>
  <c r="E11" i="6" s="1"/>
  <c r="A11" i="1"/>
  <c r="F11" i="1" s="1"/>
  <c r="G11" i="1" s="1"/>
  <c r="A10" i="3"/>
  <c r="A9" i="1"/>
  <c r="A9" i="6"/>
  <c r="A31" i="3"/>
  <c r="C31" i="3" s="1"/>
  <c r="A30" i="1"/>
  <c r="F30" i="1" s="1"/>
  <c r="G30" i="1" s="1"/>
  <c r="A30" i="6"/>
  <c r="B30" i="6" s="1"/>
  <c r="A19" i="3"/>
  <c r="B19" i="3" s="1"/>
  <c r="A18" i="6"/>
  <c r="E18" i="6" s="1"/>
  <c r="A18" i="1"/>
  <c r="A13" i="6"/>
  <c r="E13" i="6" s="1"/>
  <c r="A14" i="3"/>
  <c r="B14" i="3" s="1"/>
  <c r="A13" i="1"/>
  <c r="F13" i="1" s="1"/>
  <c r="G13" i="1" s="1"/>
  <c r="A31" i="1"/>
  <c r="F31" i="1" s="1"/>
  <c r="G31" i="1" s="1"/>
  <c r="A32" i="3"/>
  <c r="C32" i="3" s="1"/>
  <c r="A31" i="6"/>
  <c r="E31" i="6" s="1"/>
  <c r="A26" i="1"/>
  <c r="B26" i="1" s="1"/>
  <c r="A26" i="6"/>
  <c r="E26" i="6" s="1"/>
  <c r="A27" i="3"/>
  <c r="C27" i="3" s="1"/>
  <c r="A12" i="1"/>
  <c r="A12" i="6"/>
  <c r="E12" i="6" s="1"/>
  <c r="A13" i="3"/>
  <c r="B13" i="3" s="1"/>
  <c r="A9" i="3"/>
  <c r="A8" i="1"/>
  <c r="A8" i="6"/>
  <c r="A36" i="1"/>
  <c r="F36" i="1" s="1"/>
  <c r="G36" i="1" s="1"/>
  <c r="A36" i="6"/>
  <c r="E36" i="6" s="1"/>
  <c r="A37" i="3"/>
  <c r="C37" i="3" s="1"/>
  <c r="A38" i="6"/>
  <c r="E38" i="6" s="1"/>
  <c r="A39" i="3"/>
  <c r="B39" i="3" s="1"/>
  <c r="A38" i="1"/>
  <c r="F38" i="1" s="1"/>
  <c r="G38" i="1" s="1"/>
  <c r="A15" i="1"/>
  <c r="F15" i="1" s="1"/>
  <c r="G15" i="1" s="1"/>
  <c r="A16" i="3"/>
  <c r="B16" i="3" s="1"/>
  <c r="A15" i="6"/>
  <c r="E15" i="6" s="1"/>
  <c r="A24" i="3"/>
  <c r="B24" i="3" s="1"/>
  <c r="A23" i="6"/>
  <c r="E23" i="6" s="1"/>
  <c r="A23" i="1"/>
  <c r="F23" i="1" s="1"/>
  <c r="G23" i="1" s="1"/>
  <c r="A37" i="1"/>
  <c r="B37" i="1" s="1"/>
  <c r="A37" i="6"/>
  <c r="E37" i="6" s="1"/>
  <c r="A38" i="3"/>
  <c r="C38" i="3" s="1"/>
  <c r="A10" i="6"/>
  <c r="B10" i="6" s="1"/>
  <c r="A10" i="1"/>
  <c r="A11" i="3"/>
  <c r="B11" i="3" s="1"/>
  <c r="A4" i="1"/>
  <c r="A4" i="6"/>
  <c r="E4" i="6" s="1"/>
  <c r="A5" i="3"/>
  <c r="B5" i="3" s="1"/>
  <c r="A43" i="6"/>
  <c r="E43" i="6" s="1"/>
  <c r="A44" i="3"/>
  <c r="B44" i="3" s="1"/>
  <c r="A43" i="1"/>
  <c r="F43" i="1" s="1"/>
  <c r="G43" i="1" s="1"/>
  <c r="A34" i="3"/>
  <c r="B34" i="3" s="1"/>
  <c r="A33" i="1"/>
  <c r="B33" i="1" s="1"/>
  <c r="A33" i="6"/>
  <c r="E33" i="6" s="1"/>
  <c r="A33" i="3"/>
  <c r="B33" i="3" s="1"/>
  <c r="A32" i="1"/>
  <c r="A32" i="6"/>
  <c r="E32" i="6" s="1"/>
  <c r="A28" i="3"/>
  <c r="C28" i="3" s="1"/>
  <c r="A27" i="6"/>
  <c r="B27" i="6" s="1"/>
  <c r="A27" i="1"/>
  <c r="B27" i="1" s="1"/>
  <c r="A6" i="6"/>
  <c r="E6" i="6" s="1"/>
  <c r="A7" i="3"/>
  <c r="B7" i="3" s="1"/>
  <c r="A6" i="1"/>
  <c r="A41" i="6"/>
  <c r="E41" i="6" s="1"/>
  <c r="A42" i="3"/>
  <c r="C42" i="3" s="1"/>
  <c r="A41" i="1"/>
  <c r="B41" i="1" s="1"/>
  <c r="A21" i="1"/>
  <c r="B21" i="1" s="1"/>
  <c r="A21" i="6"/>
  <c r="E21" i="6" s="1"/>
  <c r="A22" i="3"/>
  <c r="C22" i="3" s="1"/>
  <c r="H26" i="2"/>
  <c r="G26" i="2"/>
  <c r="F26" i="2"/>
  <c r="E26" i="2"/>
  <c r="D26" i="2"/>
  <c r="H4" i="2"/>
  <c r="M4" i="2" s="1"/>
  <c r="G4" i="2"/>
  <c r="L4" i="2" s="1"/>
  <c r="F4" i="2"/>
  <c r="K4" i="2" s="1"/>
  <c r="E4" i="2"/>
  <c r="J4" i="2" s="1"/>
  <c r="D4" i="2"/>
  <c r="I4" i="2" s="1"/>
  <c r="H6" i="2"/>
  <c r="M6" i="2" s="1"/>
  <c r="G6" i="2"/>
  <c r="L6" i="2" s="1"/>
  <c r="F6" i="2"/>
  <c r="K6" i="2" s="1"/>
  <c r="E6" i="2"/>
  <c r="J6" i="2" s="1"/>
  <c r="D6" i="2"/>
  <c r="I6" i="2" s="1"/>
  <c r="H35" i="2"/>
  <c r="G35" i="2"/>
  <c r="F35" i="2"/>
  <c r="E35" i="2"/>
  <c r="D35" i="2"/>
  <c r="B28" i="3"/>
  <c r="H32" i="2"/>
  <c r="G32" i="2"/>
  <c r="F32" i="2"/>
  <c r="E32" i="2"/>
  <c r="D32" i="2"/>
  <c r="H8" i="2"/>
  <c r="M8" i="2" s="1"/>
  <c r="G8" i="2"/>
  <c r="L8" i="2" s="1"/>
  <c r="F8" i="2"/>
  <c r="K8" i="2" s="1"/>
  <c r="E8" i="2"/>
  <c r="J8" i="2" s="1"/>
  <c r="D8" i="2"/>
  <c r="I8" i="2" s="1"/>
  <c r="H14" i="2"/>
  <c r="G14" i="2"/>
  <c r="F14" i="2"/>
  <c r="E14" i="2"/>
  <c r="D14" i="2"/>
  <c r="H20" i="2"/>
  <c r="G20" i="2"/>
  <c r="F20" i="2"/>
  <c r="E20" i="2"/>
  <c r="D20" i="2"/>
  <c r="H18" i="2"/>
  <c r="G18" i="2"/>
  <c r="F18" i="2"/>
  <c r="E18" i="2"/>
  <c r="D18" i="2"/>
  <c r="H12" i="2"/>
  <c r="G12" i="2"/>
  <c r="F12" i="2"/>
  <c r="E12" i="2"/>
  <c r="D12" i="2"/>
  <c r="H23" i="2"/>
  <c r="G23" i="2"/>
  <c r="F23" i="2"/>
  <c r="E23" i="2"/>
  <c r="D23" i="2"/>
  <c r="H28" i="2"/>
  <c r="G28" i="2"/>
  <c r="F28" i="2"/>
  <c r="E28" i="2"/>
  <c r="D28" i="2"/>
  <c r="H34" i="2"/>
  <c r="G34" i="2"/>
  <c r="F34" i="2"/>
  <c r="E34" i="2"/>
  <c r="D34" i="2"/>
  <c r="H16" i="2"/>
  <c r="G16" i="2"/>
  <c r="F16" i="2"/>
  <c r="E16" i="2"/>
  <c r="D16" i="2"/>
  <c r="H24" i="2"/>
  <c r="G24" i="2"/>
  <c r="F24" i="2"/>
  <c r="E24" i="2"/>
  <c r="D24" i="2"/>
  <c r="H22" i="2"/>
  <c r="G22" i="2"/>
  <c r="F22" i="2"/>
  <c r="E22" i="2"/>
  <c r="D22" i="2"/>
  <c r="H31" i="2"/>
  <c r="G31" i="2"/>
  <c r="F31" i="2"/>
  <c r="E31" i="2"/>
  <c r="D31" i="2"/>
  <c r="H30" i="2"/>
  <c r="G30" i="2"/>
  <c r="F30" i="2"/>
  <c r="E30" i="2"/>
  <c r="D30" i="2"/>
  <c r="H27" i="2"/>
  <c r="G27" i="2"/>
  <c r="F27" i="2"/>
  <c r="E27" i="2"/>
  <c r="D27" i="2"/>
  <c r="R45" i="4"/>
  <c r="C24" i="2"/>
  <c r="Q24" i="2" s="1"/>
  <c r="B24" i="2"/>
  <c r="P24" i="2" s="1"/>
  <c r="C28" i="2"/>
  <c r="Q28" i="2" s="1"/>
  <c r="B28" i="2"/>
  <c r="P28" i="2" s="1"/>
  <c r="C16" i="2"/>
  <c r="Q16" i="2" s="1"/>
  <c r="B16" i="2"/>
  <c r="P16" i="2" s="1"/>
  <c r="B18" i="2"/>
  <c r="P18" i="2" s="1"/>
  <c r="C18" i="2"/>
  <c r="Q18" i="2" s="1"/>
  <c r="C35" i="2"/>
  <c r="Q35" i="2" s="1"/>
  <c r="B35" i="2"/>
  <c r="P35" i="2" s="1"/>
  <c r="C32" i="2"/>
  <c r="Q32" i="2" s="1"/>
  <c r="B32" i="2"/>
  <c r="P32" i="2" s="1"/>
  <c r="B22" i="2"/>
  <c r="P22" i="2" s="1"/>
  <c r="C22" i="2"/>
  <c r="Q22" i="2" s="1"/>
  <c r="B34" i="2"/>
  <c r="P34" i="2" s="1"/>
  <c r="C34" i="2"/>
  <c r="Q34" i="2" s="1"/>
  <c r="C31" i="2"/>
  <c r="Q31" i="2" s="1"/>
  <c r="B31" i="2"/>
  <c r="P31" i="2" s="1"/>
  <c r="C8" i="2"/>
  <c r="Q8" i="2" s="1"/>
  <c r="B8" i="2"/>
  <c r="P8" i="2" s="1"/>
  <c r="C12" i="2"/>
  <c r="Q12" i="2" s="1"/>
  <c r="B12" i="2"/>
  <c r="P12" i="2" s="1"/>
  <c r="B30" i="2"/>
  <c r="P30" i="2" s="1"/>
  <c r="C30" i="2"/>
  <c r="Q30" i="2" s="1"/>
  <c r="B14" i="2"/>
  <c r="P14" i="2" s="1"/>
  <c r="C14" i="2"/>
  <c r="Q14" i="2" s="1"/>
  <c r="C27" i="2"/>
  <c r="Q27" i="2" s="1"/>
  <c r="B27" i="2"/>
  <c r="P27" i="2" s="1"/>
  <c r="C20" i="2"/>
  <c r="Q20" i="2" s="1"/>
  <c r="B20" i="2"/>
  <c r="P20" i="2" s="1"/>
  <c r="B26" i="2"/>
  <c r="P26" i="2" s="1"/>
  <c r="C26" i="2"/>
  <c r="Q26" i="2" s="1"/>
  <c r="C4" i="2"/>
  <c r="Q4" i="2" s="1"/>
  <c r="B4" i="2"/>
  <c r="P4" i="2" s="1"/>
  <c r="B6" i="2"/>
  <c r="P6" i="2" s="1"/>
  <c r="C6" i="2"/>
  <c r="Q6" i="2" s="1"/>
  <c r="C23" i="2"/>
  <c r="Q23" i="2" s="1"/>
  <c r="B23" i="2"/>
  <c r="P23" i="2" s="1"/>
  <c r="O14" i="2"/>
  <c r="S14" i="2" s="1"/>
  <c r="O32" i="2"/>
  <c r="S32" i="2" s="1"/>
  <c r="O20" i="2"/>
  <c r="S20" i="2" s="1"/>
  <c r="O31" i="2"/>
  <c r="S31" i="2" s="1"/>
  <c r="O30" i="2"/>
  <c r="S30" i="2" s="1"/>
  <c r="O27" i="2"/>
  <c r="S27" i="2" s="1"/>
  <c r="O4" i="2"/>
  <c r="S4" i="2" s="1"/>
  <c r="O18" i="2"/>
  <c r="S18" i="2" s="1"/>
  <c r="O26" i="2"/>
  <c r="S26" i="2" s="1"/>
  <c r="O6" i="2"/>
  <c r="S6" i="2" s="1"/>
  <c r="O23" i="2"/>
  <c r="S23" i="2" s="1"/>
  <c r="O28" i="2"/>
  <c r="S28" i="2" s="1"/>
  <c r="O34" i="2"/>
  <c r="S34" i="2" s="1"/>
  <c r="O12" i="2"/>
  <c r="S12" i="2" s="1"/>
  <c r="O22" i="2"/>
  <c r="S22" i="2" s="1"/>
  <c r="O8" i="2"/>
  <c r="S8" i="2" s="1"/>
  <c r="O24" i="2"/>
  <c r="S24" i="2" s="1"/>
  <c r="O16" i="2"/>
  <c r="S16" i="2" s="1"/>
  <c r="O35" i="2"/>
  <c r="S35" i="2" s="1"/>
  <c r="A33" i="2"/>
  <c r="A7" i="2"/>
  <c r="A17" i="2"/>
  <c r="A19" i="2"/>
  <c r="A13" i="2"/>
  <c r="A29" i="2"/>
  <c r="A21" i="2"/>
  <c r="A11" i="2"/>
  <c r="A5" i="2"/>
  <c r="A25" i="2"/>
  <c r="A15" i="2"/>
  <c r="B20" i="3" l="1"/>
  <c r="E20" i="3" s="1"/>
  <c r="B13" i="1"/>
  <c r="C13" i="1" s="1"/>
  <c r="B22" i="1"/>
  <c r="C22" i="1" s="1"/>
  <c r="F26" i="1"/>
  <c r="G26" i="1" s="1"/>
  <c r="F17" i="1"/>
  <c r="G17" i="1" s="1"/>
  <c r="B23" i="1"/>
  <c r="C23" i="1" s="1"/>
  <c r="B25" i="1"/>
  <c r="C25" i="1" s="1"/>
  <c r="B11" i="1"/>
  <c r="C11" i="1" s="1"/>
  <c r="E3" i="6"/>
  <c r="C30" i="3"/>
  <c r="B40" i="6"/>
  <c r="B31" i="3"/>
  <c r="E31" i="3" s="1"/>
  <c r="G31" i="3" s="1"/>
  <c r="B14" i="6"/>
  <c r="E10" i="6"/>
  <c r="C6" i="3"/>
  <c r="G6" i="3" s="1"/>
  <c r="B39" i="1"/>
  <c r="C39" i="1" s="1"/>
  <c r="B18" i="6"/>
  <c r="C20" i="3"/>
  <c r="E28" i="6"/>
  <c r="E17" i="6"/>
  <c r="B30" i="1"/>
  <c r="C30" i="1" s="1"/>
  <c r="E22" i="6"/>
  <c r="B26" i="6"/>
  <c r="C35" i="3"/>
  <c r="B21" i="6"/>
  <c r="C34" i="3"/>
  <c r="B41" i="3"/>
  <c r="E41" i="3" s="1"/>
  <c r="G41" i="3" s="1"/>
  <c r="C8" i="3"/>
  <c r="G8" i="3" s="1"/>
  <c r="E19" i="6"/>
  <c r="B24" i="6"/>
  <c r="B25" i="6"/>
  <c r="B20" i="6"/>
  <c r="B42" i="6"/>
  <c r="F37" i="1"/>
  <c r="G37" i="1" s="1"/>
  <c r="B31" i="1"/>
  <c r="C31" i="1" s="1"/>
  <c r="F29" i="1"/>
  <c r="G29" i="1" s="1"/>
  <c r="E27" i="6"/>
  <c r="B12" i="6"/>
  <c r="B4" i="6"/>
  <c r="C16" i="3"/>
  <c r="B38" i="6"/>
  <c r="E30" i="6"/>
  <c r="F5" i="1"/>
  <c r="G5" i="1" s="1"/>
  <c r="B43" i="1"/>
  <c r="C43" i="1" s="1"/>
  <c r="F21" i="1"/>
  <c r="G21" i="1" s="1"/>
  <c r="B38" i="1"/>
  <c r="C38" i="1" s="1"/>
  <c r="B16" i="6"/>
  <c r="B12" i="3"/>
  <c r="E12" i="3" s="1"/>
  <c r="G12" i="3" s="1"/>
  <c r="B43" i="3"/>
  <c r="E43" i="3" s="1"/>
  <c r="G43" i="3" s="1"/>
  <c r="B15" i="6"/>
  <c r="C37" i="1"/>
  <c r="C7" i="1"/>
  <c r="C33" i="1"/>
  <c r="C29" i="1"/>
  <c r="C5" i="1"/>
  <c r="C19" i="1"/>
  <c r="C17" i="1"/>
  <c r="C27" i="1"/>
  <c r="C41" i="1"/>
  <c r="C21" i="1"/>
  <c r="C26" i="1"/>
  <c r="F27" i="1"/>
  <c r="G27" i="1" s="1"/>
  <c r="C39" i="3"/>
  <c r="F41" i="1"/>
  <c r="G41" i="1" s="1"/>
  <c r="B13" i="6"/>
  <c r="B7" i="6"/>
  <c r="B11" i="6"/>
  <c r="B40" i="1"/>
  <c r="C23" i="3"/>
  <c r="B34" i="1"/>
  <c r="B3" i="1"/>
  <c r="C26" i="3"/>
  <c r="B40" i="3"/>
  <c r="E40" i="3" s="1"/>
  <c r="G40" i="3" s="1"/>
  <c r="E29" i="6"/>
  <c r="C18" i="3"/>
  <c r="E5" i="6"/>
  <c r="B32" i="6"/>
  <c r="C24" i="3"/>
  <c r="B41" i="6"/>
  <c r="B38" i="3"/>
  <c r="E38" i="3" s="1"/>
  <c r="G38" i="3" s="1"/>
  <c r="B6" i="6"/>
  <c r="B22" i="3"/>
  <c r="E22" i="3" s="1"/>
  <c r="G22" i="3" s="1"/>
  <c r="C44" i="3"/>
  <c r="F33" i="1"/>
  <c r="G33" i="1" s="1"/>
  <c r="B34" i="6"/>
  <c r="B23" i="6"/>
  <c r="B31" i="6"/>
  <c r="B27" i="3"/>
  <c r="E27" i="3" s="1"/>
  <c r="G27" i="3" s="1"/>
  <c r="B43" i="6"/>
  <c r="B37" i="6"/>
  <c r="B35" i="1"/>
  <c r="F42" i="1"/>
  <c r="G42" i="1" s="1"/>
  <c r="B15" i="1"/>
  <c r="B33" i="6"/>
  <c r="C14" i="3"/>
  <c r="F7" i="1"/>
  <c r="G7" i="1" s="1"/>
  <c r="C4" i="3"/>
  <c r="G4" i="3" s="1"/>
  <c r="F19" i="1"/>
  <c r="G19" i="1" s="1"/>
  <c r="B42" i="3"/>
  <c r="E42" i="3" s="1"/>
  <c r="G42" i="3" s="1"/>
  <c r="B32" i="3"/>
  <c r="E32" i="3" s="1"/>
  <c r="G32" i="3" s="1"/>
  <c r="B37" i="3"/>
  <c r="E37" i="3" s="1"/>
  <c r="G37" i="3" s="1"/>
  <c r="B36" i="6"/>
  <c r="B39" i="6"/>
  <c r="B36" i="1"/>
  <c r="G29" i="2"/>
  <c r="L29" i="2" s="1"/>
  <c r="H29" i="2"/>
  <c r="M29" i="2" s="1"/>
  <c r="F29" i="2"/>
  <c r="K29" i="2" s="1"/>
  <c r="E29" i="2"/>
  <c r="J29" i="2" s="1"/>
  <c r="D29" i="2"/>
  <c r="I29" i="2" s="1"/>
  <c r="F17" i="2"/>
  <c r="K17" i="2" s="1"/>
  <c r="H17" i="2"/>
  <c r="M17" i="2" s="1"/>
  <c r="G17" i="2"/>
  <c r="L17" i="2" s="1"/>
  <c r="E17" i="2"/>
  <c r="J17" i="2" s="1"/>
  <c r="D17" i="2"/>
  <c r="I17" i="2" s="1"/>
  <c r="H7" i="2"/>
  <c r="M7" i="2" s="1"/>
  <c r="G7" i="2"/>
  <c r="L7" i="2" s="1"/>
  <c r="F7" i="2"/>
  <c r="K7" i="2" s="1"/>
  <c r="E7" i="2"/>
  <c r="J7" i="2" s="1"/>
  <c r="D7" i="2"/>
  <c r="I7" i="2" s="1"/>
  <c r="F25" i="2"/>
  <c r="K25" i="2" s="1"/>
  <c r="E25" i="2"/>
  <c r="J25" i="2" s="1"/>
  <c r="D25" i="2"/>
  <c r="I25" i="2" s="1"/>
  <c r="H25" i="2"/>
  <c r="M25" i="2" s="1"/>
  <c r="G25" i="2"/>
  <c r="L25" i="2" s="1"/>
  <c r="G21" i="2"/>
  <c r="L21" i="2" s="1"/>
  <c r="H21" i="2"/>
  <c r="M21" i="2" s="1"/>
  <c r="F21" i="2"/>
  <c r="K21" i="2" s="1"/>
  <c r="E21" i="2"/>
  <c r="J21" i="2" s="1"/>
  <c r="D21" i="2"/>
  <c r="I21" i="2" s="1"/>
  <c r="G13" i="2"/>
  <c r="L13" i="2" s="1"/>
  <c r="E13" i="2"/>
  <c r="J13" i="2" s="1"/>
  <c r="H13" i="2"/>
  <c r="M13" i="2" s="1"/>
  <c r="F13" i="2"/>
  <c r="K13" i="2" s="1"/>
  <c r="D13" i="2"/>
  <c r="I13" i="2" s="1"/>
  <c r="H33" i="2"/>
  <c r="M33" i="2" s="1"/>
  <c r="F33" i="2"/>
  <c r="K33" i="2" s="1"/>
  <c r="G33" i="2"/>
  <c r="L33" i="2" s="1"/>
  <c r="D33" i="2"/>
  <c r="I33" i="2" s="1"/>
  <c r="E33" i="2"/>
  <c r="J33" i="2" s="1"/>
  <c r="H5" i="2"/>
  <c r="M5" i="2" s="1"/>
  <c r="D5" i="2"/>
  <c r="I5" i="2" s="1"/>
  <c r="G5" i="2"/>
  <c r="L5" i="2" s="1"/>
  <c r="E5" i="2"/>
  <c r="J5" i="2" s="1"/>
  <c r="F5" i="2"/>
  <c r="K5" i="2" s="1"/>
  <c r="H19" i="2"/>
  <c r="M19" i="2" s="1"/>
  <c r="G19" i="2"/>
  <c r="L19" i="2" s="1"/>
  <c r="F19" i="2"/>
  <c r="K19" i="2" s="1"/>
  <c r="E19" i="2"/>
  <c r="J19" i="2" s="1"/>
  <c r="D19" i="2"/>
  <c r="I19" i="2" s="1"/>
  <c r="H15" i="2"/>
  <c r="M15" i="2" s="1"/>
  <c r="G15" i="2"/>
  <c r="L15" i="2" s="1"/>
  <c r="F15" i="2"/>
  <c r="K15" i="2" s="1"/>
  <c r="E15" i="2"/>
  <c r="J15" i="2" s="1"/>
  <c r="D15" i="2"/>
  <c r="I15" i="2" s="1"/>
  <c r="H11" i="2"/>
  <c r="M11" i="2" s="1"/>
  <c r="G11" i="2"/>
  <c r="L11" i="2" s="1"/>
  <c r="F11" i="2"/>
  <c r="K11" i="2" s="1"/>
  <c r="E11" i="2"/>
  <c r="J11" i="2" s="1"/>
  <c r="D11" i="2"/>
  <c r="I11" i="2" s="1"/>
  <c r="C42" i="1"/>
  <c r="B29" i="2"/>
  <c r="P29" i="2" s="1"/>
  <c r="C29" i="2"/>
  <c r="Q29" i="2" s="1"/>
  <c r="B17" i="2"/>
  <c r="P17" i="2" s="1"/>
  <c r="C17" i="2"/>
  <c r="Q17" i="2" s="1"/>
  <c r="C33" i="2"/>
  <c r="Q33" i="2" s="1"/>
  <c r="B33" i="2"/>
  <c r="P33" i="2" s="1"/>
  <c r="C15" i="2"/>
  <c r="Q15" i="2" s="1"/>
  <c r="B15" i="2"/>
  <c r="P15" i="2" s="1"/>
  <c r="B5" i="2"/>
  <c r="P5" i="2" s="1"/>
  <c r="C5" i="2"/>
  <c r="Q5" i="2" s="1"/>
  <c r="C11" i="2"/>
  <c r="Q11" i="2" s="1"/>
  <c r="B11" i="2"/>
  <c r="P11" i="2" s="1"/>
  <c r="C7" i="2"/>
  <c r="Q7" i="2" s="1"/>
  <c r="B7" i="2"/>
  <c r="P7" i="2" s="1"/>
  <c r="B25" i="2"/>
  <c r="P25" i="2" s="1"/>
  <c r="C25" i="2"/>
  <c r="Q25" i="2" s="1"/>
  <c r="C21" i="2"/>
  <c r="Q21" i="2" s="1"/>
  <c r="B21" i="2"/>
  <c r="P21" i="2" s="1"/>
  <c r="C13" i="2"/>
  <c r="Q13" i="2" s="1"/>
  <c r="B13" i="2"/>
  <c r="P13" i="2" s="1"/>
  <c r="C19" i="2"/>
  <c r="Q19" i="2" s="1"/>
  <c r="B19" i="2"/>
  <c r="P19" i="2" s="1"/>
  <c r="E9" i="6"/>
  <c r="B9" i="6"/>
  <c r="E8" i="6"/>
  <c r="B8" i="6"/>
  <c r="E35" i="6"/>
  <c r="B35" i="6"/>
  <c r="E14" i="3"/>
  <c r="E35" i="3"/>
  <c r="I23" i="2"/>
  <c r="J26" i="2"/>
  <c r="L34" i="2"/>
  <c r="J23" i="2"/>
  <c r="E26" i="3"/>
  <c r="E28" i="3"/>
  <c r="G28" i="3" s="1"/>
  <c r="L35" i="2"/>
  <c r="Z4" i="2"/>
  <c r="Z8" i="2"/>
  <c r="Z6" i="2"/>
  <c r="O11" i="2"/>
  <c r="S11" i="2" s="1"/>
  <c r="O7" i="2"/>
  <c r="S7" i="2" s="1"/>
  <c r="O13" i="2"/>
  <c r="S13" i="2" s="1"/>
  <c r="O19" i="2"/>
  <c r="S19" i="2" s="1"/>
  <c r="O29" i="2"/>
  <c r="S29" i="2" s="1"/>
  <c r="O17" i="2"/>
  <c r="S17" i="2" s="1"/>
  <c r="O25" i="2"/>
  <c r="S25" i="2" s="1"/>
  <c r="O21" i="2"/>
  <c r="S21" i="2" s="1"/>
  <c r="O15" i="2"/>
  <c r="S15" i="2" s="1"/>
  <c r="O5" i="2"/>
  <c r="S5" i="2" s="1"/>
  <c r="O33" i="2"/>
  <c r="S33" i="2" s="1"/>
  <c r="I32" i="2"/>
  <c r="K27" i="2"/>
  <c r="L16" i="2"/>
  <c r="K30" i="2"/>
  <c r="J32" i="2"/>
  <c r="M18" i="2"/>
  <c r="M30" i="2"/>
  <c r="M28" i="2"/>
  <c r="E21" i="3"/>
  <c r="C21" i="3"/>
  <c r="B16" i="1"/>
  <c r="F16" i="1"/>
  <c r="G16" i="1" s="1"/>
  <c r="E7" i="3"/>
  <c r="C7" i="3"/>
  <c r="B14" i="1"/>
  <c r="F14" i="1"/>
  <c r="G14" i="1" s="1"/>
  <c r="E30" i="3"/>
  <c r="E16" i="3"/>
  <c r="M14" i="2"/>
  <c r="L32" i="2"/>
  <c r="I24" i="2"/>
  <c r="K16" i="2"/>
  <c r="B6" i="1"/>
  <c r="F6" i="1"/>
  <c r="G6" i="1" s="1"/>
  <c r="K14" i="2"/>
  <c r="B32" i="1"/>
  <c r="F32" i="1"/>
  <c r="G32" i="1" s="1"/>
  <c r="E15" i="3"/>
  <c r="C15" i="3"/>
  <c r="E5" i="3"/>
  <c r="C5" i="3"/>
  <c r="I31" i="2"/>
  <c r="E34" i="3"/>
  <c r="M12" i="2"/>
  <c r="K31" i="2"/>
  <c r="B36" i="3"/>
  <c r="B9" i="3"/>
  <c r="A9" i="2"/>
  <c r="I18" i="2"/>
  <c r="K22" i="2"/>
  <c r="L24" i="2"/>
  <c r="J34" i="2"/>
  <c r="I34" i="2"/>
  <c r="J18" i="2"/>
  <c r="L22" i="2"/>
  <c r="M27" i="2"/>
  <c r="K26" i="2"/>
  <c r="L28" i="2"/>
  <c r="J31" i="2"/>
  <c r="K23" i="2"/>
  <c r="L12" i="2"/>
  <c r="M26" i="2"/>
  <c r="J22" i="2"/>
  <c r="K24" i="2"/>
  <c r="L26" i="2"/>
  <c r="M16" i="2"/>
  <c r="E39" i="3"/>
  <c r="I16" i="2"/>
  <c r="K20" i="2"/>
  <c r="J24" i="2"/>
  <c r="I22" i="2"/>
  <c r="E19" i="3"/>
  <c r="C19" i="3"/>
  <c r="L27" i="2"/>
  <c r="J30" i="2"/>
  <c r="K18" i="2"/>
  <c r="K12" i="2"/>
  <c r="J28" i="2"/>
  <c r="E44" i="3"/>
  <c r="I12" i="2"/>
  <c r="K35" i="2"/>
  <c r="I20" i="2"/>
  <c r="M23" i="2"/>
  <c r="J14" i="2"/>
  <c r="F24" i="1"/>
  <c r="G24" i="1" s="1"/>
  <c r="B24" i="1"/>
  <c r="B10" i="1"/>
  <c r="F10" i="1"/>
  <c r="G10" i="1" s="1"/>
  <c r="E29" i="3"/>
  <c r="C29" i="3"/>
  <c r="F12" i="1"/>
  <c r="G12" i="1" s="1"/>
  <c r="B12" i="1"/>
  <c r="B10" i="3"/>
  <c r="A10" i="2"/>
  <c r="M20" i="2"/>
  <c r="L14" i="2"/>
  <c r="E33" i="3"/>
  <c r="C33" i="3"/>
  <c r="M31" i="2"/>
  <c r="L31" i="2"/>
  <c r="B20" i="1"/>
  <c r="F20" i="1"/>
  <c r="G20" i="1" s="1"/>
  <c r="E18" i="3"/>
  <c r="K34" i="2"/>
  <c r="F28" i="1"/>
  <c r="G28" i="1" s="1"/>
  <c r="B28" i="1"/>
  <c r="J20" i="2"/>
  <c r="M32" i="2"/>
  <c r="L18" i="2"/>
  <c r="M24" i="2"/>
  <c r="J12" i="2"/>
  <c r="J16" i="2"/>
  <c r="L20" i="2"/>
  <c r="E25" i="3"/>
  <c r="C25" i="3"/>
  <c r="B4" i="1"/>
  <c r="F4" i="1"/>
  <c r="G4" i="1" s="1"/>
  <c r="L23" i="2"/>
  <c r="E11" i="3"/>
  <c r="C11" i="3"/>
  <c r="I26" i="2"/>
  <c r="M34" i="2"/>
  <c r="M22" i="2"/>
  <c r="E13" i="3"/>
  <c r="C13" i="3"/>
  <c r="J27" i="2"/>
  <c r="F18" i="1"/>
  <c r="G18" i="1" s="1"/>
  <c r="B18" i="1"/>
  <c r="L30" i="2"/>
  <c r="I30" i="2"/>
  <c r="K32" i="2"/>
  <c r="E17" i="3"/>
  <c r="C17" i="3"/>
  <c r="K28" i="2"/>
  <c r="J35" i="2"/>
  <c r="I35" i="2"/>
  <c r="E24" i="3"/>
  <c r="I28" i="2"/>
  <c r="M35" i="2"/>
  <c r="E23" i="3"/>
  <c r="I14" i="2"/>
  <c r="I27" i="2"/>
  <c r="G30" i="3" l="1"/>
  <c r="G20" i="3"/>
  <c r="G35" i="3"/>
  <c r="G34" i="3"/>
  <c r="G16" i="3"/>
  <c r="G24" i="3"/>
  <c r="C34" i="1"/>
  <c r="C35" i="1"/>
  <c r="C3" i="1"/>
  <c r="C12" i="1"/>
  <c r="C14" i="1"/>
  <c r="C10" i="1"/>
  <c r="C6" i="1"/>
  <c r="C16" i="1"/>
  <c r="C15" i="1"/>
  <c r="C20" i="1"/>
  <c r="C18" i="1"/>
  <c r="C4" i="1"/>
  <c r="C28" i="1"/>
  <c r="C24" i="1"/>
  <c r="G39" i="3"/>
  <c r="C32" i="1"/>
  <c r="C36" i="1"/>
  <c r="C40" i="1"/>
  <c r="G23" i="3"/>
  <c r="G26" i="3"/>
  <c r="G44" i="3"/>
  <c r="G18" i="3"/>
  <c r="G14" i="3"/>
  <c r="H10" i="2"/>
  <c r="M10" i="2" s="1"/>
  <c r="G10" i="2"/>
  <c r="L10" i="2" s="1"/>
  <c r="F10" i="2"/>
  <c r="K10" i="2" s="1"/>
  <c r="E10" i="2"/>
  <c r="J10" i="2" s="1"/>
  <c r="D10" i="2"/>
  <c r="I10" i="2" s="1"/>
  <c r="F9" i="2"/>
  <c r="K9" i="2" s="1"/>
  <c r="H9" i="2"/>
  <c r="M9" i="2" s="1"/>
  <c r="G9" i="2"/>
  <c r="L9" i="2" s="1"/>
  <c r="D9" i="2"/>
  <c r="I9" i="2" s="1"/>
  <c r="E9" i="2"/>
  <c r="J9" i="2" s="1"/>
  <c r="B9" i="2"/>
  <c r="P9" i="2" s="1"/>
  <c r="C9" i="2"/>
  <c r="Q9" i="2" s="1"/>
  <c r="B10" i="2"/>
  <c r="P10" i="2" s="1"/>
  <c r="C10" i="2"/>
  <c r="Q10" i="2" s="1"/>
  <c r="E44" i="6"/>
  <c r="Z27" i="2"/>
  <c r="Z22" i="2"/>
  <c r="Z5" i="2"/>
  <c r="Z28" i="2"/>
  <c r="Z17" i="2"/>
  <c r="Z18" i="2"/>
  <c r="Z31" i="2"/>
  <c r="Z25" i="2"/>
  <c r="Z24" i="2"/>
  <c r="Z14" i="2"/>
  <c r="Z30" i="2"/>
  <c r="Z29" i="2"/>
  <c r="Z7" i="2"/>
  <c r="Z12" i="2"/>
  <c r="Z23" i="2"/>
  <c r="Z13" i="2"/>
  <c r="Z33" i="2"/>
  <c r="Z26" i="2"/>
  <c r="Z19" i="2"/>
  <c r="Z16" i="2"/>
  <c r="Z32" i="2"/>
  <c r="Z35" i="2"/>
  <c r="Z21" i="2"/>
  <c r="Z15" i="2"/>
  <c r="Z11" i="2"/>
  <c r="Z20" i="2"/>
  <c r="Z34" i="2"/>
  <c r="O9" i="2"/>
  <c r="S9" i="2" s="1"/>
  <c r="O10" i="2"/>
  <c r="S10" i="2" s="1"/>
  <c r="G29" i="3"/>
  <c r="G19" i="3"/>
  <c r="G5" i="3"/>
  <c r="G17" i="3"/>
  <c r="G13" i="3"/>
  <c r="G25" i="3"/>
  <c r="G15" i="3"/>
  <c r="G7" i="3"/>
  <c r="G21" i="3"/>
  <c r="G33" i="3"/>
  <c r="E10" i="3"/>
  <c r="C10" i="3"/>
  <c r="F8" i="1"/>
  <c r="G8" i="1" s="1"/>
  <c r="B8" i="1"/>
  <c r="E36" i="3"/>
  <c r="C36" i="3"/>
  <c r="G11" i="3"/>
  <c r="B9" i="1"/>
  <c r="F9" i="1"/>
  <c r="G9" i="1" s="1"/>
  <c r="E9" i="3"/>
  <c r="C9" i="3"/>
  <c r="C8" i="1" l="1"/>
  <c r="C9" i="1"/>
  <c r="F40" i="6"/>
  <c r="G40" i="6" s="1"/>
  <c r="D40" i="6" s="1"/>
  <c r="C40" i="6" s="1"/>
  <c r="F36" i="6"/>
  <c r="G36" i="6" s="1"/>
  <c r="D36" i="6" s="1"/>
  <c r="C36" i="6" s="1"/>
  <c r="F38" i="6"/>
  <c r="G38" i="6" s="1"/>
  <c r="D38" i="6" s="1"/>
  <c r="C38" i="6" s="1"/>
  <c r="F37" i="6"/>
  <c r="G37" i="6" s="1"/>
  <c r="D37" i="6" s="1"/>
  <c r="C37" i="6" s="1"/>
  <c r="F39" i="6"/>
  <c r="G39" i="6" s="1"/>
  <c r="D39" i="6" s="1"/>
  <c r="C39" i="6" s="1"/>
  <c r="F42" i="6"/>
  <c r="G42" i="6" s="1"/>
  <c r="D42" i="6" s="1"/>
  <c r="C42" i="6" s="1"/>
  <c r="F41" i="6"/>
  <c r="G41" i="6" s="1"/>
  <c r="D41" i="6" s="1"/>
  <c r="C41" i="6" s="1"/>
  <c r="F5" i="6"/>
  <c r="G5" i="6" s="1"/>
  <c r="D5" i="6" s="1"/>
  <c r="C5" i="6" s="1"/>
  <c r="F43" i="6"/>
  <c r="G43" i="6" s="1"/>
  <c r="D43" i="6" s="1"/>
  <c r="C43" i="6" s="1"/>
  <c r="F18" i="6"/>
  <c r="G18" i="6" s="1"/>
  <c r="F26" i="6"/>
  <c r="G26" i="6" s="1"/>
  <c r="F4" i="6"/>
  <c r="G4" i="6" s="1"/>
  <c r="F3" i="6"/>
  <c r="G3" i="6" s="1"/>
  <c r="F30" i="6"/>
  <c r="G30" i="6" s="1"/>
  <c r="F17" i="6"/>
  <c r="G17" i="6" s="1"/>
  <c r="F8" i="6"/>
  <c r="G8" i="6" s="1"/>
  <c r="F14" i="6"/>
  <c r="G14" i="6" s="1"/>
  <c r="F32" i="6"/>
  <c r="G32" i="6" s="1"/>
  <c r="F10" i="6"/>
  <c r="G10" i="6" s="1"/>
  <c r="F11" i="6"/>
  <c r="G11" i="6" s="1"/>
  <c r="F24" i="6"/>
  <c r="G24" i="6" s="1"/>
  <c r="F28" i="6"/>
  <c r="G28" i="6" s="1"/>
  <c r="F23" i="6"/>
  <c r="G23" i="6" s="1"/>
  <c r="F31" i="6"/>
  <c r="G31" i="6" s="1"/>
  <c r="F9" i="6"/>
  <c r="G9" i="6" s="1"/>
  <c r="F13" i="6"/>
  <c r="G13" i="6" s="1"/>
  <c r="F19" i="6"/>
  <c r="G19" i="6" s="1"/>
  <c r="F15" i="6"/>
  <c r="G15" i="6" s="1"/>
  <c r="F34" i="6"/>
  <c r="G34" i="6" s="1"/>
  <c r="F29" i="6"/>
  <c r="G29" i="6" s="1"/>
  <c r="F27" i="6"/>
  <c r="G27" i="6" s="1"/>
  <c r="F21" i="6"/>
  <c r="G21" i="6" s="1"/>
  <c r="F25" i="6"/>
  <c r="G25" i="6" s="1"/>
  <c r="F6" i="6"/>
  <c r="G6" i="6" s="1"/>
  <c r="F35" i="6"/>
  <c r="G35" i="6" s="1"/>
  <c r="F16" i="6"/>
  <c r="G16" i="6" s="1"/>
  <c r="F7" i="6"/>
  <c r="G7" i="6" s="1"/>
  <c r="F22" i="6"/>
  <c r="G22" i="6" s="1"/>
  <c r="F12" i="6"/>
  <c r="G12" i="6" s="1"/>
  <c r="F33" i="6"/>
  <c r="G33" i="6" s="1"/>
  <c r="F20" i="6"/>
  <c r="G20" i="6" s="1"/>
  <c r="Z10" i="2"/>
  <c r="Z9" i="2"/>
  <c r="G44" i="1"/>
  <c r="H42" i="1" s="1"/>
  <c r="I42" i="1" s="1"/>
  <c r="G9" i="3"/>
  <c r="G36" i="3"/>
  <c r="G10" i="3"/>
  <c r="C44" i="1" l="1"/>
  <c r="D42" i="1" s="1"/>
  <c r="E42" i="1" s="1"/>
  <c r="J42" i="1" s="1"/>
  <c r="H43" i="1"/>
  <c r="I43" i="1" s="1"/>
  <c r="H34" i="1"/>
  <c r="I34" i="1" s="1"/>
  <c r="H33" i="1"/>
  <c r="I33" i="1" s="1"/>
  <c r="H36" i="1"/>
  <c r="I36" i="1" s="1"/>
  <c r="H35" i="1"/>
  <c r="I35" i="1" s="1"/>
  <c r="H37" i="1"/>
  <c r="I37" i="1" s="1"/>
  <c r="H38" i="1"/>
  <c r="I38" i="1" s="1"/>
  <c r="H7" i="1"/>
  <c r="I7" i="1" s="1"/>
  <c r="H39" i="1"/>
  <c r="I39" i="1" s="1"/>
  <c r="D31" i="6"/>
  <c r="C31" i="6" s="1"/>
  <c r="D34" i="6"/>
  <c r="C34" i="6" s="1"/>
  <c r="D35" i="6"/>
  <c r="C35" i="6" s="1"/>
  <c r="D25" i="6"/>
  <c r="C25" i="6" s="1"/>
  <c r="D20" i="6"/>
  <c r="C20" i="6" s="1"/>
  <c r="D4" i="6"/>
  <c r="C4" i="6" s="1"/>
  <c r="D19" i="6"/>
  <c r="C19" i="6" s="1"/>
  <c r="D9" i="6"/>
  <c r="C9" i="6" s="1"/>
  <c r="D11" i="6"/>
  <c r="C11" i="6" s="1"/>
  <c r="D26" i="6"/>
  <c r="C26" i="6" s="1"/>
  <c r="D6" i="6"/>
  <c r="C6" i="6" s="1"/>
  <c r="D21" i="6"/>
  <c r="C21" i="6" s="1"/>
  <c r="D8" i="6"/>
  <c r="C8" i="6" s="1"/>
  <c r="D10" i="6"/>
  <c r="C10" i="6" s="1"/>
  <c r="D13" i="6"/>
  <c r="C13" i="6" s="1"/>
  <c r="D12" i="6"/>
  <c r="C12" i="6" s="1"/>
  <c r="D23" i="6"/>
  <c r="C23" i="6" s="1"/>
  <c r="D16" i="6"/>
  <c r="C16" i="6" s="1"/>
  <c r="D18" i="6"/>
  <c r="C18" i="6" s="1"/>
  <c r="D27" i="6"/>
  <c r="C27" i="6" s="1"/>
  <c r="D7" i="6"/>
  <c r="C7" i="6" s="1"/>
  <c r="D28" i="6"/>
  <c r="C28" i="6" s="1"/>
  <c r="D24" i="6"/>
  <c r="C24" i="6" s="1"/>
  <c r="D33" i="6"/>
  <c r="C33" i="6" s="1"/>
  <c r="D22" i="6"/>
  <c r="C22" i="6" s="1"/>
  <c r="D17" i="6"/>
  <c r="C17" i="6" s="1"/>
  <c r="D32" i="6"/>
  <c r="C32" i="6" s="1"/>
  <c r="D14" i="6"/>
  <c r="C14" i="6" s="1"/>
  <c r="D29" i="6"/>
  <c r="C29" i="6" s="1"/>
  <c r="D15" i="6"/>
  <c r="C15" i="6" s="1"/>
  <c r="D30" i="6"/>
  <c r="C30" i="6" s="1"/>
  <c r="D3" i="6"/>
  <c r="C3" i="6" s="1"/>
  <c r="H25" i="1"/>
  <c r="I25" i="1" s="1"/>
  <c r="H13" i="1"/>
  <c r="I13" i="1" s="1"/>
  <c r="H24" i="1"/>
  <c r="I24" i="1" s="1"/>
  <c r="H28" i="1"/>
  <c r="I28" i="1" s="1"/>
  <c r="H19" i="1"/>
  <c r="I19" i="1" s="1"/>
  <c r="H20" i="1"/>
  <c r="I20" i="1" s="1"/>
  <c r="H29" i="1"/>
  <c r="I29" i="1" s="1"/>
  <c r="H6" i="1"/>
  <c r="I6" i="1" s="1"/>
  <c r="H10" i="1"/>
  <c r="I10" i="1" s="1"/>
  <c r="H3" i="1"/>
  <c r="I3" i="1" s="1"/>
  <c r="H14" i="1"/>
  <c r="I14" i="1" s="1"/>
  <c r="H31" i="1"/>
  <c r="I31" i="1" s="1"/>
  <c r="H18" i="1"/>
  <c r="I18" i="1" s="1"/>
  <c r="H16" i="1"/>
  <c r="I16" i="1" s="1"/>
  <c r="H12" i="1"/>
  <c r="I12" i="1" s="1"/>
  <c r="H5" i="1"/>
  <c r="I5" i="1" s="1"/>
  <c r="H4" i="1"/>
  <c r="I4" i="1" s="1"/>
  <c r="H30" i="1"/>
  <c r="I30" i="1" s="1"/>
  <c r="H26" i="1"/>
  <c r="I26" i="1" s="1"/>
  <c r="H15" i="1"/>
  <c r="I15" i="1" s="1"/>
  <c r="H32" i="1"/>
  <c r="I32" i="1" s="1"/>
  <c r="H9" i="1"/>
  <c r="I9" i="1" s="1"/>
  <c r="H11" i="1"/>
  <c r="I11" i="1" s="1"/>
  <c r="H22" i="1"/>
  <c r="I22" i="1" s="1"/>
  <c r="H8" i="1"/>
  <c r="I8" i="1" s="1"/>
  <c r="H40" i="1"/>
  <c r="I40" i="1" s="1"/>
  <c r="H21" i="1"/>
  <c r="I21" i="1" s="1"/>
  <c r="H27" i="1"/>
  <c r="I27" i="1" s="1"/>
  <c r="H17" i="1"/>
  <c r="I17" i="1" s="1"/>
  <c r="H23" i="1"/>
  <c r="I23" i="1" s="1"/>
  <c r="H41" i="1"/>
  <c r="I41" i="1" s="1"/>
  <c r="Z36" i="2"/>
  <c r="AA7" i="2" s="1"/>
  <c r="D26" i="1" l="1"/>
  <c r="E26" i="1" s="1"/>
  <c r="J26" i="1" s="1"/>
  <c r="D7" i="1"/>
  <c r="E7" i="1" s="1"/>
  <c r="D3" i="1"/>
  <c r="E3" i="1" s="1"/>
  <c r="J3" i="1" s="1"/>
  <c r="D12" i="1"/>
  <c r="E12" i="1" s="1"/>
  <c r="J12" i="1" s="1"/>
  <c r="D27" i="1"/>
  <c r="E27" i="1" s="1"/>
  <c r="J27" i="1" s="1"/>
  <c r="D8" i="1"/>
  <c r="E8" i="1" s="1"/>
  <c r="J8" i="1" s="1"/>
  <c r="D31" i="1"/>
  <c r="E31" i="1" s="1"/>
  <c r="J31" i="1" s="1"/>
  <c r="D41" i="1"/>
  <c r="E41" i="1" s="1"/>
  <c r="J41" i="1" s="1"/>
  <c r="D21" i="1"/>
  <c r="E21" i="1" s="1"/>
  <c r="J21" i="1" s="1"/>
  <c r="D30" i="1"/>
  <c r="E30" i="1" s="1"/>
  <c r="J30" i="1" s="1"/>
  <c r="D6" i="1"/>
  <c r="E6" i="1" s="1"/>
  <c r="J6" i="1" s="1"/>
  <c r="D5" i="1"/>
  <c r="E5" i="1" s="1"/>
  <c r="J5" i="1" s="1"/>
  <c r="D18" i="1"/>
  <c r="E18" i="1" s="1"/>
  <c r="J18" i="1" s="1"/>
  <c r="D15" i="1"/>
  <c r="E15" i="1" s="1"/>
  <c r="J15" i="1" s="1"/>
  <c r="D17" i="1"/>
  <c r="E17" i="1" s="1"/>
  <c r="J17" i="1" s="1"/>
  <c r="D11" i="1"/>
  <c r="E11" i="1" s="1"/>
  <c r="J11" i="1" s="1"/>
  <c r="D23" i="1"/>
  <c r="E23" i="1" s="1"/>
  <c r="D20" i="1"/>
  <c r="E20" i="1" s="1"/>
  <c r="J20" i="1" s="1"/>
  <c r="D32" i="1"/>
  <c r="E32" i="1" s="1"/>
  <c r="J32" i="1" s="1"/>
  <c r="D19" i="1"/>
  <c r="E19" i="1" s="1"/>
  <c r="J19" i="1" s="1"/>
  <c r="D4" i="1"/>
  <c r="E4" i="1" s="1"/>
  <c r="J4" i="1" s="1"/>
  <c r="D22" i="1"/>
  <c r="E22" i="1" s="1"/>
  <c r="J22" i="1" s="1"/>
  <c r="D40" i="1"/>
  <c r="E40" i="1" s="1"/>
  <c r="J40" i="1" s="1"/>
  <c r="D16" i="1"/>
  <c r="E16" i="1" s="1"/>
  <c r="J16" i="1" s="1"/>
  <c r="D25" i="1"/>
  <c r="E25" i="1" s="1"/>
  <c r="J25" i="1" s="1"/>
  <c r="D13" i="1"/>
  <c r="E13" i="1" s="1"/>
  <c r="J13" i="1" s="1"/>
  <c r="D28" i="1"/>
  <c r="E28" i="1" s="1"/>
  <c r="J28" i="1" s="1"/>
  <c r="D29" i="1"/>
  <c r="E29" i="1" s="1"/>
  <c r="J29" i="1" s="1"/>
  <c r="D24" i="1"/>
  <c r="E24" i="1" s="1"/>
  <c r="J24" i="1" s="1"/>
  <c r="D14" i="1"/>
  <c r="E14" i="1" s="1"/>
  <c r="J14" i="1" s="1"/>
  <c r="D10" i="1"/>
  <c r="E10" i="1" s="1"/>
  <c r="J10" i="1" s="1"/>
  <c r="D39" i="1"/>
  <c r="E39" i="1" s="1"/>
  <c r="J39" i="1" s="1"/>
  <c r="D37" i="1"/>
  <c r="E37" i="1" s="1"/>
  <c r="J37" i="1" s="1"/>
  <c r="D35" i="1"/>
  <c r="E35" i="1" s="1"/>
  <c r="J35" i="1" s="1"/>
  <c r="D33" i="1"/>
  <c r="E33" i="1" s="1"/>
  <c r="J33" i="1" s="1"/>
  <c r="D43" i="1"/>
  <c r="E43" i="1" s="1"/>
  <c r="J43" i="1" s="1"/>
  <c r="D9" i="1"/>
  <c r="E9" i="1" s="1"/>
  <c r="J9" i="1" s="1"/>
  <c r="D38" i="1"/>
  <c r="E38" i="1" s="1"/>
  <c r="J38" i="1" s="1"/>
  <c r="D36" i="1"/>
  <c r="E36" i="1" s="1"/>
  <c r="J36" i="1" s="1"/>
  <c r="D34" i="1"/>
  <c r="E34" i="1" s="1"/>
  <c r="J34" i="1" s="1"/>
  <c r="J23" i="1"/>
  <c r="J7" i="1"/>
  <c r="AA29" i="2"/>
  <c r="AA16" i="2"/>
  <c r="AA35" i="2"/>
  <c r="AA26" i="2"/>
  <c r="AA10" i="2"/>
  <c r="AA25" i="2"/>
  <c r="AA9" i="2"/>
  <c r="AA28" i="2"/>
  <c r="AA12" i="2"/>
  <c r="AA31" i="2"/>
  <c r="AA15" i="2"/>
  <c r="AA14" i="2"/>
  <c r="AA13" i="2"/>
  <c r="AA19" i="2"/>
  <c r="AA22" i="2"/>
  <c r="AA6" i="2"/>
  <c r="AA21" i="2"/>
  <c r="AA5" i="2"/>
  <c r="AA24" i="2"/>
  <c r="AA8" i="2"/>
  <c r="AA27" i="2"/>
  <c r="AA11" i="2"/>
  <c r="AA30" i="2"/>
  <c r="AA32" i="2"/>
  <c r="AA34" i="2"/>
  <c r="AA18" i="2"/>
  <c r="AA33" i="2"/>
  <c r="AA17" i="2"/>
  <c r="AA20" i="2"/>
  <c r="AA4" i="2"/>
  <c r="AA23" i="2"/>
  <c r="S36" i="2"/>
  <c r="T4" i="2" l="1"/>
  <c r="T8" i="2"/>
  <c r="T12" i="2"/>
  <c r="T16" i="2"/>
  <c r="T20" i="2"/>
  <c r="T24" i="2"/>
  <c r="T28" i="2"/>
  <c r="T32" i="2"/>
  <c r="T15" i="2"/>
  <c r="T23" i="2"/>
  <c r="T5" i="2"/>
  <c r="T9" i="2"/>
  <c r="T13" i="2"/>
  <c r="T17" i="2"/>
  <c r="T21" i="2"/>
  <c r="T25" i="2"/>
  <c r="T29" i="2"/>
  <c r="T33" i="2"/>
  <c r="T7" i="2"/>
  <c r="T19" i="2"/>
  <c r="T31" i="2"/>
  <c r="T6" i="2"/>
  <c r="T10" i="2"/>
  <c r="T14" i="2"/>
  <c r="T18" i="2"/>
  <c r="T22" i="2"/>
  <c r="T26" i="2"/>
  <c r="T30" i="2"/>
  <c r="T34" i="2"/>
  <c r="T11" i="2"/>
  <c r="T27" i="2"/>
  <c r="T35" i="2"/>
  <c r="Y14" i="2" l="1"/>
  <c r="R14" i="2"/>
  <c r="R19" i="2"/>
  <c r="Y19" i="2"/>
  <c r="W19" i="2" s="1"/>
  <c r="Y25" i="2"/>
  <c r="R25" i="2"/>
  <c r="Y9" i="2"/>
  <c r="W9" i="2" s="1"/>
  <c r="R9" i="2"/>
  <c r="Y32" i="2"/>
  <c r="R32" i="2"/>
  <c r="Y16" i="2"/>
  <c r="W16" i="2" s="1"/>
  <c r="R16" i="2"/>
  <c r="Y30" i="2"/>
  <c r="W30" i="2" s="1"/>
  <c r="R30" i="2"/>
  <c r="Y26" i="2"/>
  <c r="W26" i="2" s="1"/>
  <c r="R26" i="2"/>
  <c r="N26" i="2" s="1"/>
  <c r="Y10" i="2"/>
  <c r="W10" i="2" s="1"/>
  <c r="R10" i="2"/>
  <c r="Y21" i="2"/>
  <c r="W21" i="2" s="1"/>
  <c r="R21" i="2"/>
  <c r="N21" i="2" s="1"/>
  <c r="R5" i="2"/>
  <c r="Y5" i="2"/>
  <c r="Y28" i="2"/>
  <c r="W28" i="2" s="1"/>
  <c r="R28" i="2"/>
  <c r="N28" i="2" s="1"/>
  <c r="Y12" i="2"/>
  <c r="W12" i="2" s="1"/>
  <c r="R12" i="2"/>
  <c r="R35" i="2"/>
  <c r="Y35" i="2"/>
  <c r="W35" i="2" s="1"/>
  <c r="R27" i="2"/>
  <c r="Y27" i="2"/>
  <c r="Y7" i="2"/>
  <c r="W7" i="2" s="1"/>
  <c r="R7" i="2"/>
  <c r="Y11" i="2"/>
  <c r="W11" i="2" s="1"/>
  <c r="R11" i="2"/>
  <c r="Y22" i="2"/>
  <c r="W22" i="2" s="1"/>
  <c r="R22" i="2"/>
  <c r="R6" i="2"/>
  <c r="Y6" i="2"/>
  <c r="Y33" i="2"/>
  <c r="W33" i="2" s="1"/>
  <c r="R33" i="2"/>
  <c r="N33" i="2" s="1"/>
  <c r="Y17" i="2"/>
  <c r="W17" i="2" s="1"/>
  <c r="R17" i="2"/>
  <c r="Y23" i="2"/>
  <c r="W23" i="2" s="1"/>
  <c r="R23" i="2"/>
  <c r="N23" i="2" s="1"/>
  <c r="Y24" i="2"/>
  <c r="W24" i="2" s="1"/>
  <c r="R24" i="2"/>
  <c r="R8" i="2"/>
  <c r="Y8" i="2"/>
  <c r="W8" i="2" s="1"/>
  <c r="Y34" i="2"/>
  <c r="W34" i="2" s="1"/>
  <c r="R34" i="2"/>
  <c r="Y18" i="2"/>
  <c r="W18" i="2" s="1"/>
  <c r="R18" i="2"/>
  <c r="N18" i="2" s="1"/>
  <c r="Y31" i="2"/>
  <c r="W31" i="2" s="1"/>
  <c r="R31" i="2"/>
  <c r="Y29" i="2"/>
  <c r="W29" i="2" s="1"/>
  <c r="R29" i="2"/>
  <c r="N29" i="2" s="1"/>
  <c r="Y13" i="2"/>
  <c r="W13" i="2" s="1"/>
  <c r="R13" i="2"/>
  <c r="R15" i="2"/>
  <c r="Y15" i="2"/>
  <c r="W15" i="2" s="1"/>
  <c r="Y20" i="2"/>
  <c r="W20" i="2" s="1"/>
  <c r="R20" i="2"/>
  <c r="R4" i="2"/>
  <c r="N4" i="2" s="1"/>
  <c r="Y4" i="2"/>
  <c r="W4" i="2" s="1"/>
  <c r="V23" i="2"/>
  <c r="V7" i="2"/>
  <c r="U7" i="2" s="1"/>
  <c r="V34" i="2"/>
  <c r="U34" i="2" s="1"/>
  <c r="V18" i="2"/>
  <c r="U18" i="2" s="1"/>
  <c r="V29" i="2"/>
  <c r="U29" i="2" s="1"/>
  <c r="V13" i="2"/>
  <c r="W32" i="2"/>
  <c r="V32" i="2"/>
  <c r="U32" i="2" s="1"/>
  <c r="V31" i="2"/>
  <c r="U31" i="2" s="1"/>
  <c r="V15" i="2"/>
  <c r="U15" i="2" s="1"/>
  <c r="V16" i="2"/>
  <c r="U16" i="2" s="1"/>
  <c r="V26" i="2"/>
  <c r="U26" i="2" s="1"/>
  <c r="V10" i="2"/>
  <c r="U10" i="2" s="1"/>
  <c r="V8" i="2"/>
  <c r="U8" i="2" s="1"/>
  <c r="V21" i="2"/>
  <c r="U21" i="2" s="1"/>
  <c r="W5" i="2"/>
  <c r="V5" i="2"/>
  <c r="U5" i="2" s="1"/>
  <c r="V24" i="2"/>
  <c r="U24" i="2" s="1"/>
  <c r="W27" i="2"/>
  <c r="V27" i="2"/>
  <c r="U27" i="2" s="1"/>
  <c r="V11" i="2"/>
  <c r="U11" i="2" s="1"/>
  <c r="V4" i="2"/>
  <c r="U4" i="2" s="1"/>
  <c r="V22" i="2"/>
  <c r="U22" i="2" s="1"/>
  <c r="V6" i="2"/>
  <c r="U6" i="2" s="1"/>
  <c r="W6" i="2"/>
  <c r="V33" i="2"/>
  <c r="U33" i="2" s="1"/>
  <c r="V17" i="2"/>
  <c r="U17" i="2" s="1"/>
  <c r="V12" i="2"/>
  <c r="U12" i="2" s="1"/>
  <c r="V35" i="2"/>
  <c r="U35" i="2" s="1"/>
  <c r="V19" i="2"/>
  <c r="U19" i="2" s="1"/>
  <c r="V28" i="2"/>
  <c r="U28" i="2" s="1"/>
  <c r="V30" i="2"/>
  <c r="U30" i="2" s="1"/>
  <c r="V14" i="2"/>
  <c r="U14" i="2" s="1"/>
  <c r="W14" i="2"/>
  <c r="V20" i="2"/>
  <c r="U20" i="2" s="1"/>
  <c r="V25" i="2"/>
  <c r="U25" i="2" s="1"/>
  <c r="W25" i="2"/>
  <c r="V9" i="2"/>
  <c r="U9" i="2" s="1"/>
  <c r="N30" i="2"/>
  <c r="N16" i="2"/>
  <c r="N12" i="2"/>
  <c r="U23" i="2"/>
  <c r="N31" i="2"/>
  <c r="N24" i="2"/>
  <c r="N5" i="2"/>
  <c r="N32" i="2"/>
  <c r="N17" i="2"/>
  <c r="N19" i="2"/>
  <c r="N10" i="2"/>
  <c r="N34" i="2"/>
  <c r="N27" i="2"/>
  <c r="N7" i="2"/>
  <c r="N35" i="2"/>
  <c r="N6" i="2"/>
  <c r="N15" i="2"/>
  <c r="N11" i="2"/>
  <c r="N8" i="2"/>
  <c r="N14" i="2"/>
  <c r="N9" i="2"/>
  <c r="N25" i="2"/>
  <c r="N13" i="2"/>
  <c r="U13" i="2"/>
  <c r="N20" i="2"/>
  <c r="N22" i="2"/>
  <c r="AB28" i="2" l="1"/>
  <c r="AB33" i="2"/>
  <c r="AB13" i="2"/>
  <c r="AB21" i="2"/>
  <c r="AB14" i="2"/>
  <c r="AB11" i="2"/>
  <c r="AB6" i="2"/>
  <c r="AB35" i="2"/>
  <c r="AB7" i="2"/>
  <c r="AB26" i="2"/>
  <c r="AB10" i="2"/>
  <c r="AB17" i="2"/>
  <c r="AB32" i="2"/>
  <c r="AB24" i="2"/>
  <c r="AB23" i="2"/>
  <c r="AB16" i="2"/>
  <c r="AB30" i="2"/>
  <c r="AB22" i="2"/>
  <c r="AB20" i="2"/>
  <c r="AB25" i="2"/>
  <c r="AB9" i="2"/>
  <c r="AB8" i="2"/>
  <c r="AB15" i="2"/>
  <c r="AB18" i="2"/>
  <c r="AB27" i="2"/>
  <c r="AB34" i="2"/>
  <c r="AB19" i="2"/>
  <c r="AB4" i="2"/>
  <c r="AB5" i="2"/>
  <c r="AB31" i="2"/>
  <c r="AB12" i="2"/>
  <c r="AB29" i="2"/>
</calcChain>
</file>

<file path=xl/sharedStrings.xml><?xml version="1.0" encoding="utf-8"?>
<sst xmlns="http://schemas.openxmlformats.org/spreadsheetml/2006/main" count="577" uniqueCount="283">
  <si>
    <t>Total</t>
  </si>
  <si>
    <t>Column5</t>
  </si>
  <si>
    <t>Column6</t>
  </si>
  <si>
    <t>Column7</t>
  </si>
  <si>
    <t>Column8</t>
  </si>
  <si>
    <t>Src</t>
  </si>
  <si>
    <t>P1</t>
  </si>
  <si>
    <t>P2</t>
  </si>
  <si>
    <t>P3</t>
  </si>
  <si>
    <t>P4</t>
  </si>
  <si>
    <t>Pm1</t>
  </si>
  <si>
    <t>Pm2</t>
  </si>
  <si>
    <t>Pm3</t>
  </si>
  <si>
    <t>Pm</t>
  </si>
  <si>
    <t>Rslt</t>
  </si>
  <si>
    <t>Id</t>
  </si>
  <si>
    <t>I</t>
  </si>
  <si>
    <t>J</t>
  </si>
  <si>
    <t>T</t>
  </si>
  <si>
    <t>O</t>
  </si>
  <si>
    <t>Pfx1</t>
  </si>
  <si>
    <t>Pfx2</t>
  </si>
  <si>
    <t>A</t>
  </si>
  <si>
    <t>E</t>
  </si>
  <si>
    <t>U</t>
  </si>
  <si>
    <t>B</t>
  </si>
  <si>
    <t>X</t>
  </si>
  <si>
    <t>N1</t>
  </si>
  <si>
    <t>N2</t>
  </si>
  <si>
    <t>Er</t>
  </si>
  <si>
    <t>InpFil</t>
  </si>
  <si>
    <t>LnkImp</t>
  </si>
  <si>
    <t>Pfx3</t>
  </si>
  <si>
    <t>Seq</t>
  </si>
  <si>
    <t>W</t>
  </si>
  <si>
    <t>Stru</t>
  </si>
  <si>
    <t>StruF</t>
  </si>
  <si>
    <t>FxTbl</t>
  </si>
  <si>
    <t>FbTbl</t>
  </si>
  <si>
    <t>TblWh</t>
  </si>
  <si>
    <t>_</t>
  </si>
  <si>
    <t>Fss</t>
  </si>
  <si>
    <t>L Lin IsHdr IsRmk T1 Rst</t>
  </si>
  <si>
    <t>Ffn</t>
  </si>
  <si>
    <t>NFnd</t>
  </si>
  <si>
    <t>Fbt</t>
  </si>
  <si>
    <t>Wsn</t>
  </si>
  <si>
    <t>FxExtn</t>
  </si>
  <si>
    <t>PSeq</t>
  </si>
  <si>
    <t>L Fbn Tss</t>
  </si>
  <si>
    <t>L T Fxn Wsn Stru</t>
  </si>
  <si>
    <t>L Stru F Ty Extn</t>
  </si>
  <si>
    <t>L Lin Fn Ffn</t>
  </si>
  <si>
    <t>L Stru</t>
  </si>
  <si>
    <t>L T Wh</t>
  </si>
  <si>
    <t>L Fn Ffn</t>
  </si>
  <si>
    <t>L Fbn Fb Tss</t>
  </si>
  <si>
    <t>L Fxn Fx Wsn</t>
  </si>
  <si>
    <t>Fn Ffn T Fss ActFss</t>
  </si>
  <si>
    <t>Fn Ffn T F Ty ActTy</t>
  </si>
  <si>
    <t>Lss S F</t>
  </si>
  <si>
    <t>Lss S</t>
  </si>
  <si>
    <t>L S F Ty</t>
  </si>
  <si>
    <t>L S</t>
  </si>
  <si>
    <t>Fxn Fx T Fss</t>
  </si>
  <si>
    <t>Lss T</t>
  </si>
  <si>
    <t>Lss Fxn</t>
  </si>
  <si>
    <t>L T Fbn</t>
  </si>
  <si>
    <t>L Fbn</t>
  </si>
  <si>
    <t>L T</t>
  </si>
  <si>
    <t>S</t>
  </si>
  <si>
    <t>Tbl</t>
  </si>
  <si>
    <t>Excess</t>
  </si>
  <si>
    <t>NDef</t>
  </si>
  <si>
    <t>Dup</t>
  </si>
  <si>
    <t>Mis</t>
  </si>
  <si>
    <t>Fxt</t>
  </si>
  <si>
    <t>Fbn</t>
  </si>
  <si>
    <t>Fld</t>
  </si>
  <si>
    <t>FxFldTy</t>
  </si>
  <si>
    <t>InUse</t>
  </si>
  <si>
    <t>FldTy</t>
  </si>
  <si>
    <t>NMch</t>
  </si>
  <si>
    <t>Fm</t>
  </si>
  <si>
    <t>Const</t>
  </si>
  <si>
    <t>Drs</t>
  </si>
  <si>
    <t>T F Ty Extn</t>
  </si>
  <si>
    <t>T F Ty</t>
  </si>
  <si>
    <t>Fm1</t>
  </si>
  <si>
    <t>Fm2</t>
  </si>
  <si>
    <t>Fm3</t>
  </si>
  <si>
    <t>Fm4</t>
  </si>
  <si>
    <t>Fm5</t>
  </si>
  <si>
    <t>TblFld</t>
  </si>
  <si>
    <t>T Stru Ffn Wsn FxOrFb</t>
  </si>
  <si>
    <t>CnstNm</t>
  </si>
  <si>
    <t>Val</t>
  </si>
  <si>
    <t>"</t>
  </si>
  <si>
    <t>Key</t>
  </si>
  <si>
    <t>RetTy</t>
  </si>
  <si>
    <t>String()</t>
  </si>
  <si>
    <t>Pm4</t>
  </si>
  <si>
    <t>Pm5</t>
  </si>
  <si>
    <t>Nm</t>
  </si>
  <si>
    <t>1</t>
  </si>
  <si>
    <t>2</t>
  </si>
  <si>
    <t>3</t>
  </si>
  <si>
    <t>FnSfx</t>
  </si>
  <si>
    <t>As</t>
  </si>
  <si>
    <t>1:</t>
  </si>
  <si>
    <t>1Nm</t>
  </si>
  <si>
    <t>1Len</t>
  </si>
  <si>
    <t>2Spc</t>
  </si>
  <si>
    <t>3Pm</t>
  </si>
  <si>
    <t>3Spc</t>
  </si>
  <si>
    <t>1Filler</t>
  </si>
  <si>
    <t>3PmLen</t>
  </si>
  <si>
    <t>3PmFiller</t>
  </si>
  <si>
    <t>NmSpc</t>
  </si>
  <si>
    <t>RmkNm</t>
  </si>
  <si>
    <t>NmLen</t>
  </si>
  <si>
    <t>NmFiller</t>
  </si>
  <si>
    <t/>
  </si>
  <si>
    <t>All</t>
  </si>
  <si>
    <t>ErTy Ern L Msg</t>
  </si>
  <si>
    <t>Cn</t>
  </si>
  <si>
    <t>Sql</t>
  </si>
  <si>
    <t>T S Cn</t>
  </si>
  <si>
    <t>Ret</t>
  </si>
  <si>
    <t>Beg</t>
  </si>
  <si>
    <t>End</t>
  </si>
  <si>
    <t>Des</t>
  </si>
  <si>
    <t>MthLinSeq</t>
  </si>
  <si>
    <t>MthLinTy</t>
  </si>
  <si>
    <t>1Sfx</t>
  </si>
  <si>
    <t>1As</t>
  </si>
  <si>
    <t>1Spc</t>
  </si>
  <si>
    <t>SRC!A6</t>
  </si>
  <si>
    <t>SRC!A7</t>
  </si>
  <si>
    <t>SRC!A8</t>
  </si>
  <si>
    <t>SRC!A9</t>
  </si>
  <si>
    <t>SRC!A10</t>
  </si>
  <si>
    <t>SRC!A11</t>
  </si>
  <si>
    <t>SRC!A12</t>
  </si>
  <si>
    <t>SRC!A13</t>
  </si>
  <si>
    <t>SRC!A14</t>
  </si>
  <si>
    <t>SRC!A15</t>
  </si>
  <si>
    <t>SRC!A16</t>
  </si>
  <si>
    <t>SRC!A17</t>
  </si>
  <si>
    <t>SRC!A18</t>
  </si>
  <si>
    <t>SRC!A19</t>
  </si>
  <si>
    <t>SRC!A20</t>
  </si>
  <si>
    <t>SRC!A21</t>
  </si>
  <si>
    <t>SRC!A22</t>
  </si>
  <si>
    <t>SRC!A23</t>
  </si>
  <si>
    <t>SRC!A24</t>
  </si>
  <si>
    <t>SRC!A25</t>
  </si>
  <si>
    <t>SRC!A26</t>
  </si>
  <si>
    <t>SRC!A27</t>
  </si>
  <si>
    <t>SRC!A28</t>
  </si>
  <si>
    <t>SRC!A29</t>
  </si>
  <si>
    <t>SRC!A30</t>
  </si>
  <si>
    <t>SRC!A31</t>
  </si>
  <si>
    <t>SRC!A32</t>
  </si>
  <si>
    <t>SRC!A33</t>
  </si>
  <si>
    <t>SRC!A34</t>
  </si>
  <si>
    <t>SRC!A35</t>
  </si>
  <si>
    <t>SRC!A36</t>
  </si>
  <si>
    <t>SRC!A37</t>
  </si>
  <si>
    <t>SRC!A38</t>
  </si>
  <si>
    <t>SRC!A39</t>
  </si>
  <si>
    <t>SRC!A40</t>
  </si>
  <si>
    <t>SRC!A41</t>
  </si>
  <si>
    <t>SRC!A42</t>
  </si>
  <si>
    <t>SRC!A43</t>
  </si>
  <si>
    <t>SRC!A44</t>
  </si>
  <si>
    <t>SRC!A45</t>
  </si>
  <si>
    <t>SRC!A46</t>
  </si>
  <si>
    <t>SRC!A47</t>
  </si>
  <si>
    <t>SRC!A48</t>
  </si>
  <si>
    <t>SRC!A49</t>
  </si>
  <si>
    <t>SRC!A50</t>
  </si>
  <si>
    <t>SRC!A51</t>
  </si>
  <si>
    <t>SRC!A52</t>
  </si>
  <si>
    <t>SRC!A53</t>
  </si>
  <si>
    <t>SRC!A54</t>
  </si>
  <si>
    <t>SRC!A55</t>
  </si>
  <si>
    <t>SRC!A56</t>
  </si>
  <si>
    <t>SRC!A57</t>
  </si>
  <si>
    <t>SRC!A58</t>
  </si>
  <si>
    <t>SRC!A59</t>
  </si>
  <si>
    <t>SRC!A60</t>
  </si>
  <si>
    <t>SRC!A61</t>
  </si>
  <si>
    <t>SRC!A62</t>
  </si>
  <si>
    <t>SRC!A63</t>
  </si>
  <si>
    <t>SRC!A64</t>
  </si>
  <si>
    <t>SRC!A65</t>
  </si>
  <si>
    <t>SRC!A66</t>
  </si>
  <si>
    <t>SRC!A67</t>
  </si>
  <si>
    <t>SRC!A68</t>
  </si>
  <si>
    <t>SRC!A69</t>
  </si>
  <si>
    <t>SRC!A70</t>
  </si>
  <si>
    <t>SRC!A71</t>
  </si>
  <si>
    <t>SRC!A72</t>
  </si>
  <si>
    <t>SRC!A73</t>
  </si>
  <si>
    <t>SRC!A74</t>
  </si>
  <si>
    <t>SRC!A75</t>
  </si>
  <si>
    <t>SRC!A76</t>
  </si>
  <si>
    <t>SRC!A77</t>
  </si>
  <si>
    <t>SRC!A78</t>
  </si>
  <si>
    <t>SRC!A79</t>
  </si>
  <si>
    <t>SRC!A80</t>
  </si>
  <si>
    <t>SRC!A81</t>
  </si>
  <si>
    <t>SRC!A82</t>
  </si>
  <si>
    <t>SRC!A83</t>
  </si>
  <si>
    <t>SRC!A84</t>
  </si>
  <si>
    <t>SRC!A85</t>
  </si>
  <si>
    <t>SRC!A86</t>
  </si>
  <si>
    <t>SRC!A87</t>
  </si>
  <si>
    <t>SRC!A88</t>
  </si>
  <si>
    <t>SRC!A89</t>
  </si>
  <si>
    <t>SRC!A90</t>
  </si>
  <si>
    <t>SRC!A91</t>
  </si>
  <si>
    <t>SRC!A92</t>
  </si>
  <si>
    <t>SRC!A93</t>
  </si>
  <si>
    <t>SRC!A94</t>
  </si>
  <si>
    <t>SRC!A95</t>
  </si>
  <si>
    <t>SRC!A96</t>
  </si>
  <si>
    <t>SRC!A97</t>
  </si>
  <si>
    <t>SRC!A98</t>
  </si>
  <si>
    <t>SRC!A99</t>
  </si>
  <si>
    <t>SRC!A100</t>
  </si>
  <si>
    <t>SRC!A101</t>
  </si>
  <si>
    <t>SRC!A102</t>
  </si>
  <si>
    <t>SRC!A103</t>
  </si>
  <si>
    <t>SRC!A104</t>
  </si>
  <si>
    <t>SRC!A105</t>
  </si>
  <si>
    <t>SRC!A106</t>
  </si>
  <si>
    <t>SRC!A107</t>
  </si>
  <si>
    <t>SRC!A108</t>
  </si>
  <si>
    <t>SRC!A109</t>
  </si>
  <si>
    <t>SRC!A110</t>
  </si>
  <si>
    <t>SRC!A111</t>
  </si>
  <si>
    <t>SRC!A112</t>
  </si>
  <si>
    <t>SRC!A113</t>
  </si>
  <si>
    <t>SRC!A114</t>
  </si>
  <si>
    <t>SRC!A115</t>
  </si>
  <si>
    <t>SRC!A116</t>
  </si>
  <si>
    <t>SRC!A117</t>
  </si>
  <si>
    <t>SRC!A118</t>
  </si>
  <si>
    <t>SRC!A119</t>
  </si>
  <si>
    <t>SRC!A120</t>
  </si>
  <si>
    <t>SRC!A121</t>
  </si>
  <si>
    <t>SRC!A122</t>
  </si>
  <si>
    <t>SRC!A123</t>
  </si>
  <si>
    <t>SRC!A124</t>
  </si>
  <si>
    <t>SRC!A125</t>
  </si>
  <si>
    <t>SRC!A126</t>
  </si>
  <si>
    <t>SRC!A127</t>
  </si>
  <si>
    <t>SRC!A128</t>
  </si>
  <si>
    <t>SRC!A129</t>
  </si>
  <si>
    <t>SRC!A130</t>
  </si>
  <si>
    <t>SRC!A131</t>
  </si>
  <si>
    <t>SRC!A132</t>
  </si>
  <si>
    <t>SRC!A133</t>
  </si>
  <si>
    <t>SRC!A134</t>
  </si>
  <si>
    <t>SRC!A135</t>
  </si>
  <si>
    <t>SRC!A136</t>
  </si>
  <si>
    <t>SRC!A137</t>
  </si>
  <si>
    <t>SRC!A138</t>
  </si>
  <si>
    <t>KeyAdr</t>
  </si>
  <si>
    <t>sdfdf</t>
  </si>
  <si>
    <t>sdfkl</t>
  </si>
  <si>
    <t>SrcCd</t>
  </si>
  <si>
    <t>StpTy</t>
  </si>
  <si>
    <t>Inp</t>
  </si>
  <si>
    <t>Fun</t>
  </si>
  <si>
    <t>Sub</t>
  </si>
  <si>
    <t>ThwIfEr</t>
  </si>
  <si>
    <t>Thw</t>
  </si>
  <si>
    <t>IfEr</t>
  </si>
  <si>
    <t>OThwIfEr</t>
  </si>
  <si>
    <t>Thw if OEr has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</si>
</sst>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;#;#"/>
    <numFmt numFmtId="165" formatCode="#"/>
  </numFmts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ourier New"/>
      <family val="3"/>
    </font>
    <font>
      <sz val="10"/>
      <color theme="1"/>
      <name val="Courier New"/>
      <family val="3"/>
    </font>
    <font>
      <sz val="9"/>
      <color theme="1"/>
      <name val="Courier New"/>
      <family val="3"/>
    </font>
    <font>
      <sz val="12"/>
      <color theme="1"/>
      <name val="Perpetua"/>
      <family val="1"/>
    </font>
    <font>
      <sz val="11"/>
      <name val="Calibri"/>
      <family val="2"/>
      <scheme val="minor"/>
    </font>
    <font>
      <sz val="10"/>
      <color theme="0"/>
      <name val="Courier New"/>
      <family val="3"/>
    </font>
    <font>
      <sz val="10"/>
      <name val="Courier New"/>
      <family val="3"/>
    </font>
    <font>
      <sz val="11"/>
      <color theme="0"/>
      <name val="Courier New"/>
      <family val="3"/>
    </font>
    <font>
      <sz val="11"/>
      <name val="Courier New"/>
      <family val="3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40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0" fillId="0" borderId="0" xfId="0" applyNumberFormat="1"/>
    <xf numFmtId="0" fontId="5" fillId="0" borderId="0" xfId="0" applyFont="1"/>
    <xf numFmtId="0" fontId="4" fillId="0" borderId="0" xfId="0" applyNumberFormat="1" applyFont="1"/>
    <xf numFmtId="0" fontId="4" fillId="2" borderId="1" xfId="0" applyNumberFormat="1" applyFont="1" applyFill="1" applyBorder="1"/>
    <xf numFmtId="0" fontId="6" fillId="0" borderId="2" xfId="0" applyFont="1" applyFill="1" applyBorder="1"/>
    <xf numFmtId="0" fontId="1" fillId="0" borderId="0" xfId="0" applyFont="1" applyFill="1" applyBorder="1"/>
    <xf numFmtId="0" fontId="1" fillId="0" borderId="0" xfId="0" applyFont="1"/>
    <xf numFmtId="0" fontId="6" fillId="0" borderId="0" xfId="0" applyFont="1" applyFill="1"/>
    <xf numFmtId="0" fontId="1" fillId="0" borderId="0" xfId="0" applyFont="1" applyFill="1" applyBorder="1" applyAlignment="1">
      <alignment horizontal="center"/>
    </xf>
    <xf numFmtId="0" fontId="6" fillId="0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6" fillId="0" borderId="0" xfId="0" applyFont="1" applyFill="1" applyBorder="1" applyAlignment="1">
      <alignment horizontal="center"/>
    </xf>
    <xf numFmtId="0" fontId="0" fillId="3" borderId="0" xfId="0" applyFill="1" applyAlignment="1"/>
    <xf numFmtId="0" fontId="1" fillId="0" borderId="0" xfId="0" applyFont="1" applyFill="1" applyBorder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Fill="1" applyAlignment="1">
      <alignment horizontal="left"/>
    </xf>
    <xf numFmtId="0" fontId="6" fillId="0" borderId="2" xfId="0" applyFont="1" applyFill="1" applyBorder="1" applyAlignment="1">
      <alignment horizontal="left"/>
    </xf>
    <xf numFmtId="164" fontId="0" fillId="0" borderId="0" xfId="0" applyNumberFormat="1"/>
    <xf numFmtId="20" fontId="0" fillId="0" borderId="0" xfId="0" quotePrefix="1" applyNumberForma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Alignment="1">
      <alignment horizontal="left"/>
    </xf>
    <xf numFmtId="0" fontId="6" fillId="0" borderId="0" xfId="0" applyFont="1" applyFill="1" applyAlignment="1">
      <alignment horizontal="center"/>
    </xf>
    <xf numFmtId="0" fontId="1" fillId="0" borderId="0" xfId="0" quotePrefix="1" applyFont="1" applyFill="1" applyAlignment="1">
      <alignment horizontal="left"/>
    </xf>
    <xf numFmtId="0" fontId="7" fillId="0" borderId="0" xfId="0" applyFont="1" applyFill="1" applyAlignment="1">
      <alignment horizontal="left"/>
    </xf>
    <xf numFmtId="0" fontId="8" fillId="0" borderId="0" xfId="0" applyFont="1" applyFill="1"/>
    <xf numFmtId="0" fontId="3" fillId="4" borderId="0" xfId="0" applyFont="1" applyFill="1"/>
    <xf numFmtId="0" fontId="4" fillId="4" borderId="0" xfId="0" applyFont="1" applyFill="1"/>
    <xf numFmtId="0" fontId="9" fillId="0" borderId="0" xfId="0" applyFont="1" applyFill="1" applyAlignment="1">
      <alignment horizontal="left"/>
    </xf>
    <xf numFmtId="0" fontId="10" fillId="0" borderId="0" xfId="0" applyFont="1" applyFill="1"/>
    <xf numFmtId="0" fontId="0" fillId="0" borderId="0" xfId="0" applyBorder="1" applyAlignment="1">
      <alignment horizontal="left"/>
    </xf>
    <xf numFmtId="165" fontId="0" fillId="0" borderId="0" xfId="0" applyNumberFormat="1" applyAlignment="1">
      <alignment horizontal="left"/>
    </xf>
    <xf numFmtId="0" fontId="0" fillId="0" borderId="0" xfId="0" applyAlignment="1"/>
    <xf numFmtId="0" fontId="12" fillId="0" borderId="0" xfId="1" applyAlignment="1">
      <alignment horizontal="left"/>
    </xf>
    <xf numFmtId="0" fontId="12" fillId="0" borderId="0" xfId="1"/>
  </cellXfs>
  <cellStyles count="2">
    <cellStyle name="Hyperlink" xfId="1" builtinId="8"/>
    <cellStyle name="Normal" xfId="0" builtinId="0"/>
  </cellStyles>
  <dxfs count="120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Courier New"/>
        <family val="3"/>
        <scheme val="none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#;#;#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#;#;#"/>
    </dxf>
    <dxf>
      <numFmt numFmtId="164" formatCode="#;#;#"/>
    </dxf>
    <dxf>
      <numFmt numFmtId="164" formatCode="#;#;#"/>
    </dxf>
    <dxf>
      <numFmt numFmtId="164" formatCode="#;#;#"/>
    </dxf>
    <dxf>
      <numFmt numFmtId="164" formatCode="#;#;#"/>
    </dxf>
    <dxf>
      <numFmt numFmtId="164" formatCode="#;#;#"/>
    </dxf>
    <dxf>
      <numFmt numFmtId="164" formatCode="#;#;#"/>
    </dxf>
    <dxf>
      <numFmt numFmtId="164" formatCode="#;#;#"/>
    </dxf>
    <dxf>
      <numFmt numFmtId="164" formatCode="#;#;#"/>
    </dxf>
    <dxf>
      <numFmt numFmtId="164" formatCode="#;#;#"/>
    </dxf>
    <dxf>
      <numFmt numFmtId="164" formatCode="#;#;#"/>
    </dxf>
    <dxf>
      <numFmt numFmtId="164" formatCode="#;#;#"/>
    </dxf>
    <dxf>
      <numFmt numFmtId="164" formatCode="#;#;#"/>
    </dxf>
    <dxf>
      <numFmt numFmtId="164" formatCode="#;#;#"/>
    </dxf>
    <dxf>
      <numFmt numFmtId="164" formatCode="#;#;#"/>
    </dxf>
    <dxf>
      <numFmt numFmtId="164" formatCode="#;#;#"/>
    </dxf>
    <dxf>
      <numFmt numFmtId="164" formatCode="#;#;#"/>
    </dxf>
    <dxf>
      <numFmt numFmtId="164" formatCode="#;#;#"/>
    </dxf>
    <dxf>
      <numFmt numFmtId="164" formatCode="#;#;#"/>
    </dxf>
    <dxf>
      <numFmt numFmtId="164" formatCode="#;#;#"/>
    </dxf>
    <dxf>
      <numFmt numFmtId="165" formatCode="#"/>
      <alignment horizontal="left" vertical="bottom" textRotation="0" wrapText="0" indent="0" justifyLastLine="0" shrinkToFit="0" readingOrder="0"/>
    </dxf>
    <dxf>
      <numFmt numFmtId="165" formatCode="#"/>
      <alignment horizontal="left" vertical="bottom" textRotation="0" wrapText="0" indent="0" justifyLastLine="0" shrinkToFit="0" readingOrder="0"/>
    </dxf>
    <dxf>
      <numFmt numFmtId="165" formatCode="#"/>
      <alignment horizontal="left" vertical="bottom" textRotation="0" wrapText="0" indent="0" justifyLastLine="0" shrinkToFit="0" readingOrder="0"/>
    </dxf>
    <dxf>
      <numFmt numFmtId="165" formatCode="#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urier New"/>
        <family val="3"/>
        <scheme val="none"/>
      </font>
    </dxf>
    <dxf>
      <font>
        <sz val="9"/>
        <name val="Courier New"/>
        <family val="3"/>
        <scheme val="none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Courier New"/>
        <family val="3"/>
        <scheme val="none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Perpetua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Perpetua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Perpetua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Perpetua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Perpetua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Perpetua"/>
        <family val="1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Perpetua"/>
        <family val="1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Perpetua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Perpetua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urier New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urier New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urier New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50800</xdr:rowOff>
        </xdr:from>
        <xdr:to>
          <xdr:col>0</xdr:col>
          <xdr:colOff>1028700</xdr:colOff>
          <xdr:row>1</xdr:row>
          <xdr:rowOff>323850</xdr:rowOff>
        </xdr:to>
        <xdr:sp macro="" textlink="">
          <xdr:nvSpPr>
            <xdr:cNvPr id="11267" name="CommandButton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1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1</xdr:row>
          <xdr:rowOff>50800</xdr:rowOff>
        </xdr:from>
        <xdr:to>
          <xdr:col>13</xdr:col>
          <xdr:colOff>228600</xdr:colOff>
          <xdr:row>1</xdr:row>
          <xdr:rowOff>323850</xdr:rowOff>
        </xdr:to>
        <xdr:sp macro="" textlink="">
          <xdr:nvSpPr>
            <xdr:cNvPr id="11268" name="CommandButton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F77ADB7B-9EB9-4387-94A1-4EEC74432F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146050</xdr:colOff>
          <xdr:row>0</xdr:row>
          <xdr:rowOff>95250</xdr:rowOff>
        </xdr:from>
        <xdr:to>
          <xdr:col>2</xdr:col>
          <xdr:colOff>476250</xdr:colOff>
          <xdr:row>0</xdr:row>
          <xdr:rowOff>330200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Program</a:t>
              </a:r>
            </a:p>
            <a:p>
              <a:pPr algn="ctr" rtl="0">
                <a:defRPr sz="1000"/>
              </a:pPr>
              <a:endParaRPr lang="en-HK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cuments/Projects/Vba/QLib/QLib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RmvLasTwoChr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7E39081-C42E-4705-B550-A669D6D56457}" name="T_SrcCd" displayName="T_SrcCd" ref="A1:A2" totalsRowShown="0">
  <autoFilter ref="A1:A2" xr:uid="{2059B0D9-EC90-4D29-A1BA-41D8A8A66A99}"/>
  <tableColumns count="1">
    <tableColumn id="1" xr3:uid="{ECB881D1-486C-4A05-A912-5F78F123319D}" name="Rsl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AAF3536-A66C-4311-9BFA-A02004B9EAA1}" name="T_Src" displayName="T_Src" ref="A4:T51" totalsRowCount="1" headerRowDxfId="119" dataDxfId="118" tableBorderDxfId="117">
  <autoFilter ref="A4:T50" xr:uid="{287282FF-54DF-4100-8F36-D6A40DBB1FA5}"/>
  <tableColumns count="20">
    <tableColumn id="14" xr3:uid="{63F61A95-F9ED-4A0B-A558-5D51F41D006A}" name="Key" totalsRowFunction="count" dataDxfId="116" totalsRowDxfId="19">
      <calculatedColumnFormula>T_Src[Pfx1]&amp;T_Src[Pfx2]&amp;T_Src[Pfx3]&amp;T_Src[N1]&amp;T_Src[N2]</calculatedColumnFormula>
    </tableColumn>
    <tableColumn id="4" xr3:uid="{433FEDC0-567F-435F-BA40-F015F88CFF32}" name="Id" dataDxfId="115" totalsRowDxfId="18">
      <calculatedColumnFormula>T_Src[[#This Row],[Pfx1]]&amp;T_Src[Pfx2]&amp;T_Src[[#This Row],[PSeq]]</calculatedColumnFormula>
    </tableColumn>
    <tableColumn id="22" xr3:uid="{C67FE40C-2F2F-4CC8-80A7-F4A93B0C2006}" name="Ret" dataDxfId="114" totalsRowDxfId="17"/>
    <tableColumn id="7" xr3:uid="{64BC176C-F65E-4127-971A-0965C0D8F5CE}" name="StpTy" dataDxfId="113" totalsRowDxfId="16"/>
    <tableColumn id="28" xr3:uid="{31319DEE-5AD0-41AF-85AE-E5AC8DE70011}" name="Seq" dataDxfId="112" totalsRowDxfId="15"/>
    <tableColumn id="1" xr3:uid="{7C2DCAD2-9239-46EF-AB05-0DDD261F7029}" name="Pfx1" dataDxfId="111" totalsRowDxfId="14"/>
    <tableColumn id="2" xr3:uid="{7ADCC333-1E41-445F-ACB1-5F889090B039}" name="Pfx2" dataDxfId="110" totalsRowDxfId="13"/>
    <tableColumn id="16" xr3:uid="{62F08DAE-4935-474D-85BB-9647DD6BA156}" name="Pfx3" dataDxfId="109" totalsRowDxfId="12"/>
    <tableColumn id="3" xr3:uid="{14E3AFFC-9D10-4094-9AE9-1537895B938D}" name="PSeq" dataDxfId="108" totalsRowDxfId="11"/>
    <tableColumn id="5" xr3:uid="{01FB3238-487E-4BA7-AC1E-7C269F638E4E}" name="N1" dataDxfId="107" totalsRowDxfId="10"/>
    <tableColumn id="6" xr3:uid="{E2E97279-93B0-4235-AAE8-A335DAF8E003}" name="N2" dataDxfId="106" totalsRowDxfId="9"/>
    <tableColumn id="11" xr3:uid="{6B5A6E09-7417-41A5-8258-D4E38E518F23}" name="Fss" dataDxfId="105" totalsRowDxfId="8"/>
    <tableColumn id="24" xr3:uid="{976E2671-376D-4B14-BD54-BF5FDA70CCD0}" name="Fm1" dataDxfId="104" totalsRowDxfId="7"/>
    <tableColumn id="17" xr3:uid="{8EE581B5-DADF-424C-A5E3-3C0CFDD06A27}" name="Fm2" dataDxfId="103" totalsRowDxfId="6"/>
    <tableColumn id="26" xr3:uid="{C1501F40-21BF-4D22-92A7-C05557BE02B5}" name="Fm3" dataDxfId="102" totalsRowDxfId="5"/>
    <tableColumn id="25" xr3:uid="{6E7EB39E-31FC-48D3-BED0-95D4146CF49F}" name="Fm4" dataDxfId="101" totalsRowDxfId="4"/>
    <tableColumn id="27" xr3:uid="{AA26E426-2ACC-4B18-AB1B-8351BFDAB250}" name="Fm5" dataDxfId="100" totalsRowDxfId="3"/>
    <tableColumn id="47" xr3:uid="{E87E2849-027A-4F80-B77B-494FCB4521F5}" name="Fm" dataDxfId="99" totalsRowDxfId="2">
      <calculatedColumnFormula>T_Src[Fm1]&amp;" "&amp;T_Src[Fm2]&amp;" "&amp;T_Src[Fm3]&amp;" "&amp;T_Src[Fm4]&amp;" "&amp;T_Src[Fm5]</calculatedColumnFormula>
    </tableColumn>
    <tableColumn id="48" xr3:uid="{54AF7672-9E6E-47DB-8DD9-8BE2F65FF874}" name="Pm" dataDxfId="98" totalsRowDxfId="1">
      <calculatedColumnFormula>T_Src[[#This Row],[Key]]&amp;#REF!&amp;T_Src[[#This Row],[As]]</calculatedColumnFormula>
    </tableColumn>
    <tableColumn id="49" xr3:uid="{1E6460A7-4B9D-475A-94A4-E11C38117DC1}" name="As" dataDxfId="97" totalsRowDxfId="0">
      <calculatedColumnFormula>IF(ISBLANK(T_Src[[#This Row],[Ret]]),""," As "&amp;T_Src[[#This Row],[Ret]])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BCF7D9F-6418-430F-A145-E655FB750C4E}" name="T_Des" displayName="T_Des" ref="A54:B56" totalsRowShown="0">
  <autoFilter ref="A54:B56" xr:uid="{3224F54B-BC78-401D-9076-8A23FCAE803D}"/>
  <tableColumns count="2">
    <tableColumn id="1" xr3:uid="{17E52487-AD1E-4FA3-9D52-A427B334706C}" name="Key" dataDxfId="96"/>
    <tableColumn id="2" xr3:uid="{CE797F86-7B54-41B4-9920-CCA147732386}" name="D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ECB1178-3055-417F-BAD7-52F599475E29}" name="T_Key" displayName="T_Key" ref="A1:B134" totalsRowShown="0">
  <autoFilter ref="A1:B134" xr:uid="{26F70130-5531-4CC3-B683-9195895E7DBB}"/>
  <tableColumns count="2">
    <tableColumn id="1" xr3:uid="{511DFF4F-1AF6-4433-9266-49BF08D44BE3}" name="KeyAdr"/>
    <tableColumn id="2" xr3:uid="{6E67E99A-5D90-4DEE-8992-DD7238032412}" name="Rslt">
      <calculatedColumnFormula>INDIRECT(A2)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F507AEF-2C45-430F-BEA2-58E8F9D6595F}" name="T_Rmk" displayName="T_Rmk" ref="A2:G44" totalsRowCount="1" headerRowDxfId="95" dataDxfId="94">
  <autoFilter ref="A2:G43" xr:uid="{DC15028E-C257-4ACE-A825-3BA8DAEA5161}"/>
  <tableColumns count="7">
    <tableColumn id="12" xr3:uid="{EFE1AE7A-7348-4F7A-A177-2F01F5514730}" name="Key" totalsRowLabel="Total" dataDxfId="93" totalsRowDxfId="92">
      <calculatedColumnFormula>Key!B2</calculatedColumnFormula>
    </tableColumn>
    <tableColumn id="14" xr3:uid="{B4D2DDBA-D9C5-4A50-81BD-392010C67F7B}" name="Fss" dataDxfId="91" totalsRowDxfId="90">
      <calculatedColumnFormula>VLOOKUP(T_Rmk[[#This Row],[Key]],T_Src[],13,FALSE)</calculatedColumnFormula>
    </tableColumn>
    <tableColumn id="1" xr3:uid="{B2B5C1B8-6EAD-4A59-BD92-6BF5AF2EDAA2}" name="Rslt" dataDxfId="89" totalsRowDxfId="88">
      <calculatedColumnFormula>"'"&amp;T_Rmk[RmkNm]&amp;" "&amp;T_Rmk[Fss]</calculatedColumnFormula>
    </tableColumn>
    <tableColumn id="2" xr3:uid="{86673B04-7228-4790-9381-B380E371640A}" name="RmkNm" dataDxfId="87" totalsRowDxfId="86">
      <calculatedColumnFormula>T_Rmk[Key]&amp;T_Rmk[[#This Row],[NmSpc]]</calculatedColumnFormula>
    </tableColumn>
    <tableColumn id="3" xr3:uid="{1F6CC338-667B-42C3-AE97-3A2E7A9160DF}" name="NmLen" totalsRowFunction="max" dataDxfId="85" totalsRowDxfId="84"/>
    <tableColumn id="4" xr3:uid="{E21A7B8F-EC79-4908-8208-EE2B5256FEF0}" name="NmFiller" dataDxfId="83" totalsRowDxfId="82">
      <calculatedColumnFormula>T_Rmk[[#Totals],[NmLen]]-T_Rmk[[#This Row],[NmLen]]</calculatedColumnFormula>
    </tableColumn>
    <tableColumn id="5" xr3:uid="{3F7C13DE-A2B7-4C3D-B540-B97B8D577542}" name="NmSpc" dataDxfId="81" totalsRowDxfId="80">
      <calculatedColumnFormula>REPT(" ",T_Rmk[[#This Row],[NmFiller]])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DB50F8F-4C38-4254-B7C7-A6877AEDA3D7}" name="T_Cnst" displayName="T_Cnst" ref="A3:G44" totalsRowShown="0" headerRowDxfId="79" dataDxfId="78">
  <autoFilter ref="A3:G44" xr:uid="{9F7961AA-BEF7-40B4-A0A2-79CFEF3E6707}"/>
  <tableColumns count="7">
    <tableColumn id="1" xr3:uid="{A6CDE449-65B0-4D77-A5EB-F63B3196FF88}" name="CnstNm" dataDxfId="77">
      <calculatedColumnFormula>Key!B2</calculatedColumnFormula>
    </tableColumn>
    <tableColumn id="6" xr3:uid="{09E9AA9C-4C80-4FCA-9E43-4D5C83791AA2}" name="Val" dataDxfId="76">
      <calculatedColumnFormula>VLOOKUP(T_Cnst[[#This Row],[CnstNm]],T_Src[],19,FALSE)</calculatedColumnFormula>
    </tableColumn>
    <tableColumn id="2" xr3:uid="{7ADC282B-D84E-4134-A03B-06F967D6312C}" name="P1" dataDxfId="75">
      <calculatedColumnFormula>"Const "&amp;T_Cnst[[#This Row],[CnstNm]]</calculatedColumnFormula>
    </tableColumn>
    <tableColumn id="3" xr3:uid="{2F52A88B-E55A-4E83-BE39-0CB876FD48F9}" name="P2" dataDxfId="74">
      <calculatedColumnFormula>"_$ = """</calculatedColumnFormula>
    </tableColumn>
    <tableColumn id="4" xr3:uid="{4F9FCF2A-BFE1-4722-A1EC-FC84197A9432}" name="P3" dataDxfId="73">
      <calculatedColumnFormula>T_Cnst[[#This Row],[Val]]</calculatedColumnFormula>
    </tableColumn>
    <tableColumn id="5" xr3:uid="{B552B1DD-29A7-49CB-95DD-1CB0BC475942}" name="P4" dataDxfId="72"/>
    <tableColumn id="7" xr3:uid="{6D13D1B4-17DA-4118-817C-E69FE30D84FB}" name="Rslt" dataDxfId="71">
      <calculatedColumnFormula>T_Cnst[[#This Row],[P1]]&amp;T_Cnst[[#This Row],[P2]]&amp;T_Cnst[[#This Row],[P3]]&amp;T_Cnst[[#This Row],[P4]]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47E6633-2BFE-4D5D-9592-AB21888DEE40}" name="T_ZZ" displayName="T_ZZ" ref="A2:J44" totalsRowCount="1">
  <autoFilter ref="A2:J43" xr:uid="{21F3B556-FC4B-4043-B434-118FF8447025}"/>
  <tableColumns count="10">
    <tableColumn id="1" xr3:uid="{74185595-1180-40C8-A9C9-5DEBAEC4972C}" name="Key" totalsRowLabel="Total">
      <calculatedColumnFormula>Key!B2</calculatedColumnFormula>
    </tableColumn>
    <tableColumn id="2" xr3:uid="{480A0AB0-88C8-45B1-AB15-69305F4C23F8}" name="1" dataDxfId="70">
      <calculatedColumnFormula>"Private Sub ZZ_B_"&amp;A3&amp;"():"</calculatedColumnFormula>
    </tableColumn>
    <tableColumn id="3" xr3:uid="{E65A0294-8A41-4C84-AC3D-76572F61D550}" name="1Len" totalsRowFunction="max" dataDxfId="69">
      <calculatedColumnFormula>LEN(T_ZZ[[#This Row],[1]])</calculatedColumnFormula>
    </tableColumn>
    <tableColumn id="4" xr3:uid="{E0A693E0-95E1-4D78-8266-B47596EAAAA2}" name="1Filler" dataDxfId="68">
      <calculatedColumnFormula>T_ZZ[[#Totals],[1Len]]-T_ZZ[[#This Row],[1Len]]</calculatedColumnFormula>
    </tableColumn>
    <tableColumn id="8" xr3:uid="{3ABDC4E2-D7F0-417B-9412-97E5BADA58E2}" name="1Spc" dataDxfId="67">
      <calculatedColumnFormula>REPT(" ",T_ZZ[[#This Row],[1Filler]]+1)</calculatedColumnFormula>
    </tableColumn>
    <tableColumn id="5" xr3:uid="{4D5945EC-5421-4AF1-B904-9070CBCE5E8B}" name="Column5" dataDxfId="66" totalsRowDxfId="65">
      <calculatedColumnFormula>"BrwDrs Y_"&amp;T_ZZ[[#This Row],[Key]]&amp;":"</calculatedColumnFormula>
    </tableColumn>
    <tableColumn id="6" xr3:uid="{AF10B983-B6B0-4DBF-9D85-653C22510F77}" name="Column6" totalsRowFunction="max" dataDxfId="64">
      <calculatedColumnFormula>LEN(T_ZZ[[#This Row],[Column5]])</calculatedColumnFormula>
    </tableColumn>
    <tableColumn id="7" xr3:uid="{E925F3E0-33A8-4B7E-AAD0-10364E8DDBF2}" name="Column7" dataDxfId="63">
      <calculatedColumnFormula>T_ZZ[[#Totals],[Column6]]-T_ZZ[[#This Row],[Column6]]</calculatedColumnFormula>
    </tableColumn>
    <tableColumn id="9" xr3:uid="{58A8314E-8C6E-4C1E-AA06-3F7C4133CC60}" name="Column8" dataDxfId="62">
      <calculatedColumnFormula>REPT(" ",T_ZZ[[#This Row],[Column7]]+1)</calculatedColumnFormula>
    </tableColumn>
    <tableColumn id="10" xr3:uid="{817A002D-0168-4D33-BD94-A222802347CD}" name="Rslt" dataDxfId="61" totalsRowDxfId="60">
      <calculatedColumnFormula>T_ZZ[[#This Row],[1]]&amp;T_ZZ[[#This Row],[1Spc]]&amp;T_ZZ[[#This Row],[Column5]]&amp;T_ZZ[[#This Row],[Column8]]&amp;"End Sub"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8E05F6-668C-480C-B74B-EFC0F47A215E}" name="T_Y" displayName="T_Y" ref="A3:AB36" totalsRowCount="1">
  <autoFilter ref="A3:AB35" xr:uid="{6F8B443A-43BD-4256-A273-B27B0A3BD985}"/>
  <tableColumns count="28">
    <tableColumn id="1" xr3:uid="{6D2C2A29-1849-47C8-8FA9-B49B931A5A61}" name="Key" totalsRowLabel="Total">
      <calculatedColumnFormula>Src!A7</calculatedColumnFormula>
    </tableColumn>
    <tableColumn id="56" xr3:uid="{4457686B-5D91-466C-BED3-2170AEF47055}" name="FnSfx" dataDxfId="59" totalsRowDxfId="58">
      <calculatedColumnFormula>VLOOKUP(T_Y[[#This Row],[Key]],T_Src[],4,FALSE)</calculatedColumnFormula>
    </tableColumn>
    <tableColumn id="54" xr3:uid="{F6D16F85-03AB-4E8E-92F4-6E2DBAFF09F3}" name="RetTy" dataDxfId="57" totalsRowDxfId="56">
      <calculatedColumnFormula>VLOOKUP(T_Y[[#This Row],[Key]],T_Src[],5,FALSE)</calculatedColumnFormula>
    </tableColumn>
    <tableColumn id="48" xr3:uid="{445D95F5-A02A-434A-BD3A-406FE759DA5A}" name="Fm1" dataDxfId="55" totalsRowDxfId="54">
      <calculatedColumnFormula>VLOOKUP(T_Y[[#This Row],[Key]],T_Src[],Fm1Col,FALSE)</calculatedColumnFormula>
    </tableColumn>
    <tableColumn id="47" xr3:uid="{14F10807-675B-4751-B7E8-0A87AA7AE1E2}" name="Fm2" dataDxfId="53" totalsRowDxfId="52">
      <calculatedColumnFormula>VLOOKUP(T_Y[[#This Row],[Key]],T_Src[],Fm2Col,FALSE)</calculatedColumnFormula>
    </tableColumn>
    <tableColumn id="46" xr3:uid="{BCA4AFDD-608C-47D4-8088-02AE1BB4ECCA}" name="Fm3" dataDxfId="51" totalsRowDxfId="50">
      <calculatedColumnFormula>VLOOKUP(T_Y[[#This Row],[Key]],T_Src[],Fm3Col,FALSE)</calculatedColumnFormula>
    </tableColumn>
    <tableColumn id="45" xr3:uid="{8B2562E1-C9F6-4D25-9892-963739D30136}" name="Fm4" dataDxfId="49" totalsRowDxfId="48">
      <calculatedColumnFormula>VLOOKUP(T_Y[[#This Row],[Key]],T_Src[],Fm4Col,FALSE)</calculatedColumnFormula>
    </tableColumn>
    <tableColumn id="44" xr3:uid="{D1263EBF-D4B4-417E-A83C-899D9682A6C5}" name="Fm5" dataDxfId="47" totalsRowDxfId="46">
      <calculatedColumnFormula>VLOOKUP(T_Y[[#This Row],[Key]],T_Src[],Fm5Col,FALSE)</calculatedColumnFormula>
    </tableColumn>
    <tableColumn id="61" xr3:uid="{CA1792A7-CD8E-456A-82ED-59642040A0CB}" name="Pm1" dataDxfId="45" totalsRowDxfId="44">
      <calculatedColumnFormula>IF(T_Y[[#This Row],[Fm1]]=0,"","Y_"&amp;T_Y[[#This Row],[Fm1]])&amp;", "</calculatedColumnFormula>
    </tableColumn>
    <tableColumn id="60" xr3:uid="{5B816821-6EEE-4928-B471-7CC52471B9E4}" name="Pm2" dataDxfId="43" totalsRowDxfId="42">
      <calculatedColumnFormula>IF(T_Y[[#This Row],[Fm2]]=0,"","Y_"&amp;T_Y[[#This Row],[Fm2]]&amp;", ")</calculatedColumnFormula>
    </tableColumn>
    <tableColumn id="59" xr3:uid="{DC22D0AC-72CA-4848-BBD0-1B2CD293330A}" name="Pm3" dataDxfId="41" totalsRowDxfId="40">
      <calculatedColumnFormula>IF(T_Y[[#This Row],[Fm3]]=0,"","Y_"&amp;T_Y[[#This Row],[Fm3]]&amp;", ")</calculatedColumnFormula>
    </tableColumn>
    <tableColumn id="58" xr3:uid="{C16AC535-652D-429D-BA96-C997C5C2BEF3}" name="Pm4" dataDxfId="39" totalsRowDxfId="38">
      <calculatedColumnFormula>IF(T_Y[[#This Row],[Fm4]]=0,"","Y_"&amp;T_Y[[#This Row],[Fm4]]&amp;", ")</calculatedColumnFormula>
    </tableColumn>
    <tableColumn id="57" xr3:uid="{5E12AD9D-A9DE-43AA-AD67-91E1F1D8D4F5}" name="Pm5" dataDxfId="37" totalsRowDxfId="36">
      <calculatedColumnFormula>IF(T_Y[[#This Row],[Fm5]]=0,"","Y_"&amp;T_Y[[#This Row],[Fm5]]&amp;", ")</calculatedColumnFormula>
    </tableColumn>
    <tableColumn id="24" xr3:uid="{298C9FD6-B5E8-47D7-A4BD-D45780E59F39}" name="1" dataDxfId="35">
      <calculatedColumnFormula>"Private Function Y_"&amp;T_Y[1Nm]&amp;T_Y[1Sfx]&amp;"()"&amp;T_Y[1As]&amp;T_Y[1:]</calculatedColumnFormula>
    </tableColumn>
    <tableColumn id="72" xr3:uid="{6DF55D96-45FE-4F41-8B03-10B834FEF299}" name="1Nm" dataDxfId="34">
      <calculatedColumnFormula>T_Y[[#This Row],[Key]]</calculatedColumnFormula>
    </tableColumn>
    <tableColumn id="80" xr3:uid="{D86E4EBA-1398-4A48-A931-8212B4BEBBD8}" name="1Sfx" dataDxfId="33">
      <calculatedColumnFormula>IF(T_Y[FnSfx]=0,"",T_Y[FnSfx])</calculatedColumnFormula>
    </tableColumn>
    <tableColumn id="79" xr3:uid="{73C4F553-E39F-44D2-9143-FEE9A8DE33EF}" name="1As" dataDxfId="32">
      <calculatedColumnFormula>IF(T_Y[RetTy]=0,""," As "&amp;T_Y[RetTy])</calculatedColumnFormula>
    </tableColumn>
    <tableColumn id="69" xr3:uid="{41F2E1CF-CF39-4E56-91F9-D36A05154C75}" name="1:" dataDxfId="31">
      <calculatedColumnFormula>":"&amp;REPT(" ",T_Y[[#This Row],[1Filler]]+1)</calculatedColumnFormula>
    </tableColumn>
    <tableColumn id="70" xr3:uid="{E1B6135E-1F42-4355-B959-A2162DB1EBAD}" name="1Len" totalsRowFunction="max" dataDxfId="30">
      <calculatedColumnFormula>LEN(T_Y[1Nm])</calculatedColumnFormula>
    </tableColumn>
    <tableColumn id="71" xr3:uid="{2BB2276D-E277-4908-B53B-CB34CDCFE416}" name="1Filler" dataDxfId="29">
      <calculatedColumnFormula>T_Y[[#Totals],[1Len]]-T_Y[[#This Row],[1Len]]</calculatedColumnFormula>
    </tableColumn>
    <tableColumn id="34" xr3:uid="{9B709EC1-4D8F-4E84-A32A-0C3C12E66D0B}" name="2" dataDxfId="28">
      <calculatedColumnFormula>T_Y[[#This Row],[2Spc]]&amp;"Y_"&amp;T_Y[[#This Row],[Key]]&amp;" = "</calculatedColumnFormula>
    </tableColumn>
    <tableColumn id="73" xr3:uid="{4F81E4F0-218D-4FC6-ABAC-A2FF233617E4}" name="2Spc" dataDxfId="27">
      <calculatedColumnFormula>REPT(" ",T_Y[[#This Row],[1Filler]])</calculatedColumnFormula>
    </tableColumn>
    <tableColumn id="74" xr3:uid="{492BB9AA-D7AD-43B2-8071-7699F67E1162}" name="3" dataDxfId="26">
      <calculatedColumnFormula>"B_"&amp;T_Y[[#This Row],[Key]]&amp;"("&amp;T_Y[[#This Row],[3Pm]]&amp;"):"&amp;T_Y[3Spc]</calculatedColumnFormula>
    </tableColumn>
    <tableColumn id="75" xr3:uid="{5E18B9CD-0066-481B-B31B-0F0E7A2F2FEB}" name="3Pm" dataDxfId="25">
      <calculatedColumnFormula>[1]!RmvLasTwoChr(T_Y[[#This Row],[Pm1]]&amp;T_Y[[#This Row],[Pm2]]&amp;T_Y[[#This Row],[Pm3]]&amp;T_Y[[#This Row],[Pm4]]&amp;T_Y[[#This Row],[Pm5]])</calculatedColumnFormula>
    </tableColumn>
    <tableColumn id="76" xr3:uid="{20963B74-AD9A-402F-836B-C395FD0E018E}" name="3Spc" dataDxfId="24">
      <calculatedColumnFormula>REPT(" ",T_Y[[#This Row],[1Filler]]+T_Y[[#This Row],[3PmFiller]])</calculatedColumnFormula>
    </tableColumn>
    <tableColumn id="77" xr3:uid="{49E7C1A5-8B3D-454B-9C2D-A367BAE88F00}" name="3PmLen" totalsRowFunction="max" dataDxfId="23">
      <calculatedColumnFormula>LEN(T_Y[[#This Row],[3Pm]])</calculatedColumnFormula>
    </tableColumn>
    <tableColumn id="78" xr3:uid="{2E9EB1B8-8363-40D9-9A24-FC21905B1FA7}" name="3PmFiller" dataDxfId="22">
      <calculatedColumnFormula>T_Y[[#Totals],[3PmLen]]-T_Y[[#This Row],[3PmLen]]</calculatedColumnFormula>
    </tableColumn>
    <tableColumn id="35" xr3:uid="{A9904237-ACFD-486A-8122-AEEA3DD51E99}" name="Rslt" dataDxfId="21" totalsRowDxfId="20">
      <calculatedColumnFormula>T_Y[[#This Row],[1]]&amp;T_Y[[#This Row],[2]]&amp;T_Y[[#This Row],[3]]&amp;"End Function"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0D26C8-BB74-4028-8F68-913BFE1E8731}" name="T_MthLinSeq" displayName="T_MthLinSeq" ref="A1:B6" totalsRowShown="0">
  <autoFilter ref="A1:B6" xr:uid="{0B8D9756-A3DF-412C-99CC-8F1D0ABD19A1}"/>
  <tableColumns count="2">
    <tableColumn id="1" xr3:uid="{E9E7B1D1-EAA1-4889-97BD-E0C9BF401C47}" name="MthLinTy"/>
    <tableColumn id="2" xr3:uid="{CC68FCE8-4A06-41DD-B2D5-30AC23BA9266}" name="MthLinSeq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control" Target="../activeX/activeX1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876AA-8B61-40A1-83FB-E18CF1164E6D}">
  <sheetPr codeName="WsSrcCd"/>
  <dimension ref="A1:A2"/>
  <sheetViews>
    <sheetView workbookViewId="0">
      <selection activeCell="A2" sqref="A2"/>
    </sheetView>
  </sheetViews>
  <sheetFormatPr defaultRowHeight="14.5" x14ac:dyDescent="0.35"/>
  <cols>
    <col min="1" max="1" width="10.26953125" customWidth="1"/>
  </cols>
  <sheetData>
    <row r="1" spans="1:1" x14ac:dyDescent="0.35">
      <c r="A1" t="s">
        <v>14</v>
      </c>
    </row>
    <row r="2" spans="1:1" x14ac:dyDescent="0.35">
      <c r="A2" t="s">
        <v>273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314CBA-D17B-4232-805E-14833E704F27}">
  <sheetPr codeName="WsSrc">
    <outlinePr summaryRight="0"/>
  </sheetPr>
  <dimension ref="A1:T56"/>
  <sheetViews>
    <sheetView tabSelected="1" workbookViewId="0">
      <pane xSplit="2" ySplit="4" topLeftCell="C47" activePane="bottomRight" state="frozen"/>
      <selection pane="topRight" activeCell="D1" sqref="D1"/>
      <selection pane="bottomLeft" activeCell="A3" sqref="A3"/>
      <selection pane="bottomRight" activeCell="B57" sqref="B57"/>
    </sheetView>
  </sheetViews>
  <sheetFormatPr defaultRowHeight="14.5" outlineLevelRow="1" outlineLevelCol="1" x14ac:dyDescent="0.35"/>
  <cols>
    <col min="1" max="1" width="15.6328125" style="16" bestFit="1" customWidth="1"/>
    <col min="2" max="2" width="10.26953125" customWidth="1"/>
    <col min="3" max="3" width="7.81640625" style="16" bestFit="1" customWidth="1"/>
    <col min="4" max="4" width="7.81640625" style="16" customWidth="1"/>
    <col min="5" max="5" width="6.08984375" style="14" bestFit="1" customWidth="1"/>
    <col min="6" max="8" width="6.7265625" style="14" customWidth="1" outlineLevel="1"/>
    <col min="9" max="9" width="7.1796875" style="14" customWidth="1" outlineLevel="1"/>
    <col min="10" max="10" width="7" style="14" customWidth="1" outlineLevel="1"/>
    <col min="11" max="11" width="6.1796875" style="14" customWidth="1" outlineLevel="1"/>
    <col min="12" max="12" width="22.36328125" customWidth="1"/>
    <col min="13" max="14" width="11.453125" style="16" bestFit="1" customWidth="1"/>
    <col min="15" max="15" width="12.54296875" style="16" bestFit="1" customWidth="1"/>
    <col min="16" max="16" width="14.36328125" style="16" bestFit="1" customWidth="1"/>
    <col min="17" max="17" width="15.6328125" style="16" bestFit="1" customWidth="1"/>
    <col min="18" max="18" width="10.26953125" style="14" customWidth="1"/>
    <col min="19" max="19" width="21.54296875" bestFit="1" customWidth="1"/>
    <col min="20" max="20" width="8.7265625" collapsed="1"/>
  </cols>
  <sheetData>
    <row r="1" spans="1:20" x14ac:dyDescent="0.35">
      <c r="A1" s="16">
        <v>1</v>
      </c>
      <c r="B1">
        <f>A1+1</f>
        <v>2</v>
      </c>
      <c r="C1">
        <f>B1+1</f>
        <v>3</v>
      </c>
      <c r="D1"/>
      <c r="E1">
        <f>C1+1</f>
        <v>4</v>
      </c>
      <c r="F1">
        <f t="shared" ref="F1:Q1" si="0">E1+1</f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 s="14">
        <v>19</v>
      </c>
    </row>
    <row r="2" spans="1:20" ht="31" customHeight="1" outlineLevel="1" x14ac:dyDescent="0.35">
      <c r="C2"/>
      <c r="D2"/>
      <c r="E2"/>
      <c r="F2"/>
      <c r="G2"/>
      <c r="H2"/>
      <c r="I2"/>
      <c r="J2"/>
      <c r="K2"/>
      <c r="M2"/>
      <c r="N2"/>
      <c r="O2"/>
      <c r="P2"/>
      <c r="Q2"/>
    </row>
    <row r="3" spans="1:20" x14ac:dyDescent="0.35">
      <c r="A3" s="21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/>
    </row>
    <row r="4" spans="1:20" s="20" customFormat="1" x14ac:dyDescent="0.35">
      <c r="A4" s="19" t="s">
        <v>98</v>
      </c>
      <c r="B4" s="19" t="s">
        <v>15</v>
      </c>
      <c r="C4" s="19" t="s">
        <v>128</v>
      </c>
      <c r="D4" s="19" t="s">
        <v>274</v>
      </c>
      <c r="E4" s="19" t="s">
        <v>33</v>
      </c>
      <c r="F4" s="19" t="s">
        <v>20</v>
      </c>
      <c r="G4" s="19" t="s">
        <v>21</v>
      </c>
      <c r="H4" s="19" t="s">
        <v>32</v>
      </c>
      <c r="I4" s="19" t="s">
        <v>48</v>
      </c>
      <c r="J4" s="19" t="s">
        <v>27</v>
      </c>
      <c r="K4" s="19" t="s">
        <v>28</v>
      </c>
      <c r="L4" s="15" t="s">
        <v>41</v>
      </c>
      <c r="M4" s="15" t="s">
        <v>88</v>
      </c>
      <c r="N4" s="15" t="s">
        <v>89</v>
      </c>
      <c r="O4" s="15" t="s">
        <v>90</v>
      </c>
      <c r="P4" s="15" t="s">
        <v>91</v>
      </c>
      <c r="Q4" s="15" t="s">
        <v>92</v>
      </c>
      <c r="R4" s="15" t="s">
        <v>83</v>
      </c>
      <c r="S4" s="15" t="s">
        <v>13</v>
      </c>
      <c r="T4" s="15" t="s">
        <v>108</v>
      </c>
    </row>
    <row r="5" spans="1:20" s="10" customFormat="1" x14ac:dyDescent="0.35">
      <c r="A5" s="22" t="str">
        <f>T_Src[Pfx1]&amp;T_Src[Pfx2]&amp;T_Src[Pfx3]&amp;T_Src[N1]&amp;T_Src[N2]</f>
        <v>InpFilSrc</v>
      </c>
      <c r="B5" s="9"/>
      <c r="C5" s="17" t="s">
        <v>100</v>
      </c>
      <c r="D5" s="17" t="s">
        <v>275</v>
      </c>
      <c r="E5" s="13">
        <v>1</v>
      </c>
      <c r="F5" s="12"/>
      <c r="G5" s="12"/>
      <c r="H5" s="12"/>
      <c r="I5" s="13">
        <v>1</v>
      </c>
      <c r="J5" s="13" t="s">
        <v>30</v>
      </c>
      <c r="K5" s="13" t="s">
        <v>5</v>
      </c>
      <c r="L5" s="28" t="s">
        <v>122</v>
      </c>
      <c r="M5" s="15"/>
      <c r="N5" s="15"/>
      <c r="O5" s="15"/>
      <c r="P5" s="15"/>
      <c r="Q5" s="15"/>
      <c r="R5" s="26" t="str">
        <f>T_Src[Fm1]&amp;" "&amp;T_Src[Fm2]&amp;" "&amp;T_Src[Fm3]&amp;" "&amp;T_Src[Fm4]&amp;" "&amp;T_Src[Fm5]</f>
        <v xml:space="preserve">    </v>
      </c>
      <c r="S5" s="26" t="e">
        <f>T_Src[[#This Row],[Key]]&amp;#REF!&amp;T_Src[[#This Row],[As]]</f>
        <v>#REF!</v>
      </c>
      <c r="T5" s="26" t="str">
        <f>IF(ISBLANK(T_Src[[#This Row],[Ret]]),""," As "&amp;T_Src[[#This Row],[Ret]])</f>
        <v xml:space="preserve"> As String()</v>
      </c>
    </row>
    <row r="6" spans="1:20" s="10" customFormat="1" x14ac:dyDescent="0.35">
      <c r="A6" s="22" t="str">
        <f>T_Src[Pfx1]&amp;T_Src[Pfx2]&amp;T_Src[Pfx3]&amp;T_Src[N1]&amp;T_Src[N2]</f>
        <v>LnkImpSrc</v>
      </c>
      <c r="B6" s="9" t="str">
        <f>T_Src[[#This Row],[Pfx1]]&amp;T_Src[Pfx2]&amp;T_Src[[#This Row],[PSeq]]</f>
        <v>2</v>
      </c>
      <c r="C6" s="17" t="s">
        <v>100</v>
      </c>
      <c r="D6" s="17" t="s">
        <v>275</v>
      </c>
      <c r="E6" s="13">
        <v>2</v>
      </c>
      <c r="F6" s="12"/>
      <c r="G6" s="12"/>
      <c r="H6" s="12"/>
      <c r="I6" s="13">
        <v>2</v>
      </c>
      <c r="J6" s="13" t="s">
        <v>31</v>
      </c>
      <c r="K6" s="13" t="s">
        <v>5</v>
      </c>
      <c r="L6" s="28" t="s">
        <v>122</v>
      </c>
      <c r="M6"/>
      <c r="N6" s="15"/>
      <c r="O6" s="15"/>
      <c r="P6" s="15"/>
      <c r="Q6" s="15"/>
      <c r="R6" s="26" t="str">
        <f>T_Src[Fm1]&amp;" "&amp;T_Src[Fm2]&amp;" "&amp;T_Src[Fm3]&amp;" "&amp;T_Src[Fm4]&amp;" "&amp;T_Src[Fm5]</f>
        <v xml:space="preserve">    </v>
      </c>
      <c r="S6" s="26" t="e">
        <f>T_Src[[#This Row],[Key]]&amp;#REF!&amp;T_Src[[#This Row],[As]]</f>
        <v>#REF!</v>
      </c>
      <c r="T6" s="26" t="str">
        <f>IF(ISBLANK(T_Src[[#This Row],[Ret]]),""," As "&amp;T_Src[[#This Row],[Ret]])</f>
        <v xml:space="preserve"> As String()</v>
      </c>
    </row>
    <row r="7" spans="1:20" x14ac:dyDescent="0.35">
      <c r="A7" s="22" t="str">
        <f>T_Src[Pfx1]&amp;T_Src[Pfx2]&amp;T_Src[Pfx3]&amp;T_Src[N1]&amp;T_Src[N2]</f>
        <v>IInpFil</v>
      </c>
      <c r="B7" s="8" t="str">
        <f>T_Src[[#This Row],[Pfx1]]&amp;T_Src[Pfx2]&amp;T_Src[[#This Row],[PSeq]]</f>
        <v>I1</v>
      </c>
      <c r="C7" s="17" t="s">
        <v>85</v>
      </c>
      <c r="D7" s="17" t="s">
        <v>276</v>
      </c>
      <c r="E7" s="13">
        <v>3</v>
      </c>
      <c r="F7" s="13" t="s">
        <v>16</v>
      </c>
      <c r="G7" s="13"/>
      <c r="H7" s="13"/>
      <c r="I7" s="13">
        <v>1</v>
      </c>
      <c r="J7" s="13" t="s">
        <v>30</v>
      </c>
      <c r="K7" s="13"/>
      <c r="L7" s="16" t="s">
        <v>52</v>
      </c>
      <c r="M7" s="39" t="str">
        <f>Stp_InpFilSrc</f>
        <v>InpFilSrc</v>
      </c>
      <c r="R7" s="26" t="str">
        <f>T_Src[Fm1]&amp;" "&amp;T_Src[Fm2]&amp;" "&amp;T_Src[Fm3]&amp;" "&amp;T_Src[Fm4]&amp;" "&amp;T_Src[Fm5]</f>
        <v xml:space="preserve">InpFilSrc    </v>
      </c>
      <c r="S7" s="26" t="e">
        <f>T_Src[[#This Row],[Key]]&amp;#REF!&amp;T_Src[[#This Row],[As]]</f>
        <v>#REF!</v>
      </c>
      <c r="T7" s="26" t="str">
        <f>IF(ISBLANK(T_Src[[#This Row],[Ret]]),""," As "&amp;T_Src[[#This Row],[Ret]])</f>
        <v xml:space="preserve"> As Drs</v>
      </c>
    </row>
    <row r="8" spans="1:20" x14ac:dyDescent="0.35">
      <c r="A8" s="22" t="str">
        <f>T_Src[Pfx1]&amp;T_Src[Pfx2]&amp;T_Src[Pfx3]&amp;T_Src[N1]&amp;T_Src[N2]</f>
        <v>ILnkImp</v>
      </c>
      <c r="B8" s="8" t="str">
        <f>T_Src[[#This Row],[Pfx1]]&amp;T_Src[Pfx2]&amp;T_Src[[#This Row],[PSeq]]</f>
        <v>I2</v>
      </c>
      <c r="C8" s="17" t="s">
        <v>85</v>
      </c>
      <c r="D8" s="17" t="s">
        <v>276</v>
      </c>
      <c r="E8" s="13">
        <v>4</v>
      </c>
      <c r="F8" s="13" t="s">
        <v>16</v>
      </c>
      <c r="G8" s="13"/>
      <c r="H8" s="13"/>
      <c r="I8" s="13">
        <v>2</v>
      </c>
      <c r="J8" s="13" t="s">
        <v>31</v>
      </c>
      <c r="K8" s="13"/>
      <c r="L8" s="16" t="s">
        <v>42</v>
      </c>
      <c r="M8" s="39" t="str">
        <f>Stp_LnkImpSrc</f>
        <v>LnkImpSrc</v>
      </c>
      <c r="R8" s="26" t="str">
        <f>T_Src[Fm1]&amp;" "&amp;T_Src[Fm2]&amp;" "&amp;T_Src[Fm3]&amp;" "&amp;T_Src[Fm4]&amp;" "&amp;T_Src[Fm5]</f>
        <v xml:space="preserve">LnkImpSrc    </v>
      </c>
      <c r="S8" s="26" t="e">
        <f>T_Src[[#This Row],[Key]]&amp;#REF!&amp;T_Src[[#This Row],[As]]</f>
        <v>#REF!</v>
      </c>
      <c r="T8" s="26" t="str">
        <f>IF(ISBLANK(T_Src[[#This Row],[Ret]]),""," As "&amp;T_Src[[#This Row],[Ret]])</f>
        <v xml:space="preserve"> As Drs</v>
      </c>
    </row>
    <row r="9" spans="1:20" x14ac:dyDescent="0.35">
      <c r="A9" s="22" t="str">
        <f>T_Src[Pfx1]&amp;T_Src[Pfx2]&amp;T_Src[Pfx3]&amp;T_Src[N1]&amp;T_Src[N2]</f>
        <v>JStru</v>
      </c>
      <c r="B9" s="8" t="str">
        <f>T_Src[[#This Row],[Pfx1]]&amp;T_Src[Pfx2]&amp;T_Src[[#This Row],[PSeq]]</f>
        <v>J1</v>
      </c>
      <c r="C9" s="17" t="s">
        <v>85</v>
      </c>
      <c r="D9" s="17" t="s">
        <v>276</v>
      </c>
      <c r="E9" s="13">
        <v>5</v>
      </c>
      <c r="F9" s="13" t="s">
        <v>17</v>
      </c>
      <c r="G9" s="13"/>
      <c r="H9" s="13"/>
      <c r="I9" s="13">
        <v>1</v>
      </c>
      <c r="J9" s="13" t="s">
        <v>35</v>
      </c>
      <c r="K9" s="13"/>
      <c r="L9" s="16" t="s">
        <v>53</v>
      </c>
      <c r="M9" s="39" t="str">
        <f>Stp_ILnkImp</f>
        <v>ILnkImp</v>
      </c>
      <c r="R9" s="26" t="str">
        <f>T_Src[Fm1]&amp;" "&amp;T_Src[Fm2]&amp;" "&amp;T_Src[Fm3]&amp;" "&amp;T_Src[Fm4]&amp;" "&amp;T_Src[Fm5]</f>
        <v xml:space="preserve">ILnkImp    </v>
      </c>
      <c r="S9" s="26" t="e">
        <f>T_Src[[#This Row],[Key]]&amp;#REF!&amp;T_Src[[#This Row],[As]]</f>
        <v>#REF!</v>
      </c>
      <c r="T9" s="26" t="str">
        <f>IF(ISBLANK(T_Src[[#This Row],[Ret]]),""," As "&amp;T_Src[[#This Row],[Ret]])</f>
        <v xml:space="preserve"> As Drs</v>
      </c>
    </row>
    <row r="10" spans="1:20" x14ac:dyDescent="0.35">
      <c r="A10" s="22" t="str">
        <f>T_Src[Pfx1]&amp;T_Src[Pfx2]&amp;T_Src[Pfx3]&amp;T_Src[N1]&amp;T_Src[N2]</f>
        <v>JStruF</v>
      </c>
      <c r="B10" s="8" t="str">
        <f>T_Src[[#This Row],[Pfx1]]&amp;T_Src[Pfx2]&amp;T_Src[[#This Row],[PSeq]]</f>
        <v>J2</v>
      </c>
      <c r="C10" s="17" t="s">
        <v>85</v>
      </c>
      <c r="D10" s="17" t="s">
        <v>276</v>
      </c>
      <c r="E10" s="13">
        <v>6</v>
      </c>
      <c r="F10" s="13" t="s">
        <v>17</v>
      </c>
      <c r="G10" s="13"/>
      <c r="H10" s="13"/>
      <c r="I10" s="13">
        <v>2</v>
      </c>
      <c r="J10" s="13" t="s">
        <v>36</v>
      </c>
      <c r="K10" s="13"/>
      <c r="L10" s="16" t="s">
        <v>51</v>
      </c>
      <c r="M10" s="39" t="str">
        <f>Stp_ILnkImp</f>
        <v>ILnkImp</v>
      </c>
      <c r="R10" s="26" t="str">
        <f>T_Src[Fm1]&amp;" "&amp;T_Src[Fm2]&amp;" "&amp;T_Src[Fm3]&amp;" "&amp;T_Src[Fm4]&amp;" "&amp;T_Src[Fm5]</f>
        <v xml:space="preserve">ILnkImp    </v>
      </c>
      <c r="S10" s="26" t="e">
        <f>T_Src[[#This Row],[Key]]&amp;#REF!&amp;T_Src[[#This Row],[As]]</f>
        <v>#REF!</v>
      </c>
      <c r="T10" s="26" t="str">
        <f>IF(ISBLANK(T_Src[[#This Row],[Ret]]),""," As "&amp;T_Src[[#This Row],[Ret]])</f>
        <v xml:space="preserve"> As Drs</v>
      </c>
    </row>
    <row r="11" spans="1:20" x14ac:dyDescent="0.35">
      <c r="A11" s="22" t="str">
        <f>T_Src[Pfx1]&amp;T_Src[Pfx2]&amp;T_Src[Pfx3]&amp;T_Src[N1]&amp;T_Src[N2]</f>
        <v>JFxTbl</v>
      </c>
      <c r="B11" s="8" t="str">
        <f>T_Src[[#This Row],[Pfx1]]&amp;T_Src[Pfx2]&amp;T_Src[[#This Row],[PSeq]]</f>
        <v>J3</v>
      </c>
      <c r="C11" s="17" t="s">
        <v>85</v>
      </c>
      <c r="D11" s="17" t="s">
        <v>276</v>
      </c>
      <c r="E11" s="13">
        <v>7</v>
      </c>
      <c r="F11" s="13" t="s">
        <v>17</v>
      </c>
      <c r="G11" s="13"/>
      <c r="H11" s="13"/>
      <c r="I11" s="13">
        <v>3</v>
      </c>
      <c r="J11" s="13" t="s">
        <v>37</v>
      </c>
      <c r="K11" s="13"/>
      <c r="L11" s="16" t="s">
        <v>50</v>
      </c>
      <c r="M11" s="39" t="str">
        <f>Stp_ILnkImp</f>
        <v>ILnkImp</v>
      </c>
      <c r="R11" s="26" t="str">
        <f>T_Src[Fm1]&amp;" "&amp;T_Src[Fm2]&amp;" "&amp;T_Src[Fm3]&amp;" "&amp;T_Src[Fm4]&amp;" "&amp;T_Src[Fm5]</f>
        <v xml:space="preserve">ILnkImp    </v>
      </c>
      <c r="S11" s="26" t="e">
        <f>T_Src[[#This Row],[Key]]&amp;#REF!&amp;T_Src[[#This Row],[As]]</f>
        <v>#REF!</v>
      </c>
      <c r="T11" s="26" t="str">
        <f>IF(ISBLANK(T_Src[[#This Row],[Ret]]),""," As "&amp;T_Src[[#This Row],[Ret]])</f>
        <v xml:space="preserve"> As Drs</v>
      </c>
    </row>
    <row r="12" spans="1:20" x14ac:dyDescent="0.35">
      <c r="A12" s="22" t="str">
        <f>T_Src[Pfx1]&amp;T_Src[Pfx2]&amp;T_Src[Pfx3]&amp;T_Src[N1]&amp;T_Src[N2]</f>
        <v>JFbTbl</v>
      </c>
      <c r="B12" s="8" t="str">
        <f>T_Src[[#This Row],[Pfx1]]&amp;T_Src[Pfx2]&amp;T_Src[[#This Row],[PSeq]]</f>
        <v>J4</v>
      </c>
      <c r="C12" s="17" t="s">
        <v>85</v>
      </c>
      <c r="D12" s="17" t="s">
        <v>276</v>
      </c>
      <c r="E12" s="13">
        <v>8</v>
      </c>
      <c r="F12" s="13" t="s">
        <v>17</v>
      </c>
      <c r="G12" s="13"/>
      <c r="H12" s="13"/>
      <c r="I12" s="13">
        <v>4</v>
      </c>
      <c r="J12" s="13" t="s">
        <v>38</v>
      </c>
      <c r="K12" s="13"/>
      <c r="L12" s="16" t="s">
        <v>49</v>
      </c>
      <c r="M12" s="39" t="str">
        <f>Stp_ILnkImp</f>
        <v>ILnkImp</v>
      </c>
      <c r="R12" s="26" t="str">
        <f>T_Src[Fm1]&amp;" "&amp;T_Src[Fm2]&amp;" "&amp;T_Src[Fm3]&amp;" "&amp;T_Src[Fm4]&amp;" "&amp;T_Src[Fm5]</f>
        <v xml:space="preserve">ILnkImp    </v>
      </c>
      <c r="S12" s="26" t="e">
        <f>T_Src[[#This Row],[Key]]&amp;#REF!&amp;T_Src[[#This Row],[As]]</f>
        <v>#REF!</v>
      </c>
      <c r="T12" s="26" t="str">
        <f>IF(ISBLANK(T_Src[[#This Row],[Ret]]),""," As "&amp;T_Src[[#This Row],[Ret]])</f>
        <v xml:space="preserve"> As Drs</v>
      </c>
    </row>
    <row r="13" spans="1:20" x14ac:dyDescent="0.35">
      <c r="A13" s="22" t="str">
        <f>T_Src[Pfx1]&amp;T_Src[Pfx2]&amp;T_Src[Pfx3]&amp;T_Src[N1]&amp;T_Src[N2]</f>
        <v>JTblWh</v>
      </c>
      <c r="B13" s="8" t="str">
        <f>T_Src[[#This Row],[Pfx1]]&amp;T_Src[Pfx2]&amp;T_Src[[#This Row],[PSeq]]</f>
        <v>J5</v>
      </c>
      <c r="C13" s="17" t="s">
        <v>85</v>
      </c>
      <c r="D13" s="17" t="s">
        <v>276</v>
      </c>
      <c r="E13" s="13">
        <v>9</v>
      </c>
      <c r="F13" s="13" t="s">
        <v>17</v>
      </c>
      <c r="G13" s="13"/>
      <c r="H13" s="13"/>
      <c r="I13" s="13">
        <v>5</v>
      </c>
      <c r="J13" s="13" t="s">
        <v>39</v>
      </c>
      <c r="K13" s="13"/>
      <c r="L13" s="16" t="s">
        <v>54</v>
      </c>
      <c r="M13" s="39" t="str">
        <f>Stp_ILnkImp</f>
        <v>ILnkImp</v>
      </c>
      <c r="R13" s="26" t="str">
        <f>T_Src[Fm1]&amp;" "&amp;T_Src[Fm2]&amp;" "&amp;T_Src[Fm3]&amp;" "&amp;T_Src[Fm4]&amp;" "&amp;T_Src[Fm5]</f>
        <v xml:space="preserve">ILnkImp    </v>
      </c>
      <c r="S13" s="26" t="e">
        <f>T_Src[[#This Row],[Key]]&amp;#REF!&amp;T_Src[[#This Row],[As]]</f>
        <v>#REF!</v>
      </c>
      <c r="T13" s="26" t="str">
        <f>IF(ISBLANK(T_Src[[#This Row],[Ret]]),""," As "&amp;T_Src[[#This Row],[Ret]])</f>
        <v xml:space="preserve"> As Drs</v>
      </c>
    </row>
    <row r="14" spans="1:20" x14ac:dyDescent="0.35">
      <c r="A14" s="22" t="str">
        <f>T_Src[Pfx1]&amp;T_Src[Pfx2]&amp;T_Src[Pfx3]&amp;T_Src[N1]&amp;T_Src[N2]</f>
        <v>TTbl</v>
      </c>
      <c r="B14" s="8" t="str">
        <f>T_Src[[#This Row],[Pfx1]]&amp;T_Src[Pfx2]&amp;T_Src[[#This Row],[PSeq]]</f>
        <v>T1</v>
      </c>
      <c r="C14" s="17" t="s">
        <v>85</v>
      </c>
      <c r="D14" s="17" t="s">
        <v>276</v>
      </c>
      <c r="E14" s="13">
        <v>10</v>
      </c>
      <c r="F14" s="13" t="s">
        <v>18</v>
      </c>
      <c r="G14" s="13"/>
      <c r="H14" s="13"/>
      <c r="I14" s="13">
        <v>1</v>
      </c>
      <c r="J14" s="13" t="s">
        <v>71</v>
      </c>
      <c r="K14" s="13"/>
      <c r="L14" s="16" t="s">
        <v>94</v>
      </c>
      <c r="M14" s="39" t="str">
        <f>Stp_JFxTbl</f>
        <v>JFxTbl</v>
      </c>
      <c r="N14" s="39" t="str">
        <f>Stp_JFbTbl</f>
        <v>JFbTbl</v>
      </c>
      <c r="R14" s="26" t="str">
        <f>T_Src[Fm1]&amp;" "&amp;T_Src[Fm2]&amp;" "&amp;T_Src[Fm3]&amp;" "&amp;T_Src[Fm4]&amp;" "&amp;T_Src[Fm5]</f>
        <v xml:space="preserve">JFxTbl JFbTbl   </v>
      </c>
      <c r="S14" s="26" t="e">
        <f>T_Src[[#This Row],[Key]]&amp;#REF!&amp;T_Src[[#This Row],[As]]</f>
        <v>#REF!</v>
      </c>
      <c r="T14" s="26" t="str">
        <f>IF(ISBLANK(T_Src[[#This Row],[Ret]]),""," As "&amp;T_Src[[#This Row],[Ret]])</f>
        <v xml:space="preserve"> As Drs</v>
      </c>
    </row>
    <row r="15" spans="1:20" x14ac:dyDescent="0.35">
      <c r="A15" s="22" t="str">
        <f>T_Src[Pfx1]&amp;T_Src[Pfx2]&amp;T_Src[Pfx3]&amp;T_Src[N1]&amp;T_Src[N2]</f>
        <v>TETblFld</v>
      </c>
      <c r="B15" s="8" t="str">
        <f>T_Src[[#This Row],[Pfx1]]&amp;T_Src[Pfx2]&amp;T_Src[[#This Row],[PSeq]]</f>
        <v>TE1</v>
      </c>
      <c r="C15" s="17" t="s">
        <v>85</v>
      </c>
      <c r="D15" s="17" t="s">
        <v>276</v>
      </c>
      <c r="E15" s="13">
        <v>11</v>
      </c>
      <c r="F15" s="13" t="s">
        <v>18</v>
      </c>
      <c r="G15" s="13" t="s">
        <v>23</v>
      </c>
      <c r="H15" s="13"/>
      <c r="I15" s="13">
        <v>1</v>
      </c>
      <c r="J15" s="13" t="s">
        <v>93</v>
      </c>
      <c r="K15" s="13"/>
      <c r="L15" s="16" t="s">
        <v>86</v>
      </c>
      <c r="M15" s="39" t="str">
        <f>Stp_TTbl</f>
        <v>TTbl</v>
      </c>
      <c r="N15" s="39" t="str">
        <f>Stp_JStruF</f>
        <v>JStruF</v>
      </c>
      <c r="R15" s="26" t="str">
        <f>T_Src[Fm1]&amp;" "&amp;T_Src[Fm2]&amp;" "&amp;T_Src[Fm3]&amp;" "&amp;T_Src[Fm4]&amp;" "&amp;T_Src[Fm5]</f>
        <v xml:space="preserve">TTbl JStruF   </v>
      </c>
      <c r="S15" s="26" t="e">
        <f>T_Src[[#This Row],[Key]]&amp;#REF!&amp;T_Src[[#This Row],[As]]</f>
        <v>#REF!</v>
      </c>
      <c r="T15" s="26" t="str">
        <f>IF(ISBLANK(T_Src[[#This Row],[Ret]]),""," As "&amp;T_Src[[#This Row],[Ret]])</f>
        <v xml:space="preserve"> As Drs</v>
      </c>
    </row>
    <row r="16" spans="1:20" x14ac:dyDescent="0.35">
      <c r="A16" s="22" t="str">
        <f>T_Src[Pfx1]&amp;T_Src[Pfx2]&amp;T_Src[Pfx3]&amp;T_Src[N1]&amp;T_Src[N2]</f>
        <v>TATblFld</v>
      </c>
      <c r="B16" s="8" t="str">
        <f>T_Src[[#This Row],[Pfx1]]&amp;T_Src[Pfx2]&amp;T_Src[[#This Row],[PSeq]]</f>
        <v>TA1</v>
      </c>
      <c r="C16" s="17" t="s">
        <v>85</v>
      </c>
      <c r="D16" s="17" t="s">
        <v>276</v>
      </c>
      <c r="E16" s="13">
        <v>12</v>
      </c>
      <c r="F16" s="13" t="s">
        <v>18</v>
      </c>
      <c r="G16" s="13" t="s">
        <v>22</v>
      </c>
      <c r="H16" s="13"/>
      <c r="I16" s="13">
        <v>1</v>
      </c>
      <c r="J16" s="13" t="s">
        <v>93</v>
      </c>
      <c r="K16" s="13"/>
      <c r="L16" s="16" t="s">
        <v>87</v>
      </c>
      <c r="M16" s="39" t="str">
        <f>Stp_TTbl</f>
        <v>TTbl</v>
      </c>
      <c r="R16" s="26" t="str">
        <f>T_Src[Fm1]&amp;" "&amp;T_Src[Fm2]&amp;" "&amp;T_Src[Fm3]&amp;" "&amp;T_Src[Fm4]&amp;" "&amp;T_Src[Fm5]</f>
        <v xml:space="preserve">TTbl    </v>
      </c>
      <c r="S16" s="26" t="e">
        <f>T_Src[[#This Row],[Key]]&amp;#REF!&amp;T_Src[[#This Row],[As]]</f>
        <v>#REF!</v>
      </c>
      <c r="T16" s="26" t="str">
        <f>IF(ISBLANK(T_Src[[#This Row],[Ret]]),""," As "&amp;T_Src[[#This Row],[Ret]])</f>
        <v xml:space="preserve"> As Drs</v>
      </c>
    </row>
    <row r="17" spans="1:20" x14ac:dyDescent="0.35">
      <c r="A17" s="22" t="str">
        <f>T_Src[Pfx1]&amp;T_Src[Pfx2]&amp;T_Src[Pfx3]&amp;T_Src[N1]&amp;T_Src[N2]</f>
        <v>OU_FfnNFnd</v>
      </c>
      <c r="B17" s="8" t="str">
        <f>T_Src[[#This Row],[Pfx1]]&amp;T_Src[Pfx2]&amp;T_Src[[#This Row],[PSeq]]</f>
        <v>OU1</v>
      </c>
      <c r="C17" s="17" t="s">
        <v>85</v>
      </c>
      <c r="D17" s="17" t="s">
        <v>276</v>
      </c>
      <c r="E17" s="13">
        <v>13</v>
      </c>
      <c r="F17" s="13" t="s">
        <v>19</v>
      </c>
      <c r="G17" s="13" t="s">
        <v>24</v>
      </c>
      <c r="H17" s="13" t="s">
        <v>40</v>
      </c>
      <c r="I17" s="13">
        <v>1</v>
      </c>
      <c r="J17" s="13" t="s">
        <v>43</v>
      </c>
      <c r="K17" s="13" t="s">
        <v>44</v>
      </c>
      <c r="L17" s="16" t="s">
        <v>55</v>
      </c>
      <c r="M17" s="39" t="str">
        <f>Stp_JFxTbl</f>
        <v>JFxTbl</v>
      </c>
      <c r="N17" s="39" t="str">
        <f>Stp_IInpFil</f>
        <v>IInpFil</v>
      </c>
      <c r="R17" s="26" t="str">
        <f>T_Src[Fm1]&amp;" "&amp;T_Src[Fm2]&amp;" "&amp;T_Src[Fm3]&amp;" "&amp;T_Src[Fm4]&amp;" "&amp;T_Src[Fm5]</f>
        <v xml:space="preserve">JFxTbl IInpFil   </v>
      </c>
      <c r="S17" s="26" t="e">
        <f>T_Src[[#This Row],[Key]]&amp;#REF!&amp;T_Src[[#This Row],[As]]</f>
        <v>#REF!</v>
      </c>
      <c r="T17" s="26" t="str">
        <f>IF(ISBLANK(T_Src[[#This Row],[Ret]]),""," As "&amp;T_Src[[#This Row],[Ret]])</f>
        <v xml:space="preserve"> As Drs</v>
      </c>
    </row>
    <row r="18" spans="1:20" x14ac:dyDescent="0.35">
      <c r="A18" s="22" t="str">
        <f>T_Src[Pfx1]&amp;T_Src[Pfx2]&amp;T_Src[Pfx3]&amp;T_Src[N1]&amp;T_Src[N2]</f>
        <v>OU_FbtNFnd</v>
      </c>
      <c r="B18" s="8" t="str">
        <f>T_Src[[#This Row],[Pfx1]]&amp;T_Src[Pfx2]&amp;T_Src[[#This Row],[PSeq]]</f>
        <v>OU2</v>
      </c>
      <c r="C18" s="17" t="s">
        <v>85</v>
      </c>
      <c r="D18" s="17" t="s">
        <v>276</v>
      </c>
      <c r="E18" s="13">
        <v>14</v>
      </c>
      <c r="F18" s="13" t="s">
        <v>19</v>
      </c>
      <c r="G18" s="13" t="s">
        <v>24</v>
      </c>
      <c r="H18" s="13" t="s">
        <v>40</v>
      </c>
      <c r="I18" s="13">
        <v>2</v>
      </c>
      <c r="J18" s="13" t="s">
        <v>45</v>
      </c>
      <c r="K18" s="13" t="s">
        <v>44</v>
      </c>
      <c r="L18" s="16" t="s">
        <v>56</v>
      </c>
      <c r="M18" s="39" t="str">
        <f>Stp_JFxTbl</f>
        <v>JFxTbl</v>
      </c>
      <c r="N18" s="39" t="str">
        <f>Stp_IInpFil</f>
        <v>IInpFil</v>
      </c>
      <c r="R18" s="26" t="str">
        <f>T_Src[Fm1]&amp;" "&amp;T_Src[Fm2]&amp;" "&amp;T_Src[Fm3]&amp;" "&amp;T_Src[Fm4]&amp;" "&amp;T_Src[Fm5]</f>
        <v xml:space="preserve">JFxTbl IInpFil   </v>
      </c>
      <c r="S18" s="26" t="e">
        <f>T_Src[[#This Row],[Key]]&amp;#REF!&amp;T_Src[[#This Row],[As]]</f>
        <v>#REF!</v>
      </c>
      <c r="T18" s="26" t="str">
        <f>IF(ISBLANK(T_Src[[#This Row],[Ret]]),""," As "&amp;T_Src[[#This Row],[Ret]])</f>
        <v xml:space="preserve"> As Drs</v>
      </c>
    </row>
    <row r="19" spans="1:20" x14ac:dyDescent="0.35">
      <c r="A19" s="22" t="str">
        <f>T_Src[Pfx1]&amp;T_Src[Pfx2]&amp;T_Src[Pfx3]&amp;T_Src[N1]&amp;T_Src[N2]</f>
        <v>OU_WsnNFnd</v>
      </c>
      <c r="B19" s="8" t="str">
        <f>T_Src[[#This Row],[Pfx1]]&amp;T_Src[Pfx2]&amp;T_Src[[#This Row],[PSeq]]</f>
        <v>OU3</v>
      </c>
      <c r="C19" s="17" t="s">
        <v>85</v>
      </c>
      <c r="D19" s="17" t="s">
        <v>276</v>
      </c>
      <c r="E19" s="13">
        <v>15</v>
      </c>
      <c r="F19" s="13" t="s">
        <v>19</v>
      </c>
      <c r="G19" s="13" t="s">
        <v>24</v>
      </c>
      <c r="H19" s="13" t="s">
        <v>40</v>
      </c>
      <c r="I19" s="13">
        <v>3</v>
      </c>
      <c r="J19" s="13" t="s">
        <v>46</v>
      </c>
      <c r="K19" s="13" t="s">
        <v>44</v>
      </c>
      <c r="L19" s="16" t="s">
        <v>57</v>
      </c>
      <c r="M19" s="39" t="str">
        <f>Stp_TTbl</f>
        <v>TTbl</v>
      </c>
      <c r="N19" s="39" t="str">
        <f>Stp_IInpFil</f>
        <v>IInpFil</v>
      </c>
      <c r="R19" s="26" t="str">
        <f>T_Src[Fm1]&amp;" "&amp;T_Src[Fm2]&amp;" "&amp;T_Src[Fm3]&amp;" "&amp;T_Src[Fm4]&amp;" "&amp;T_Src[Fm5]</f>
        <v xml:space="preserve">TTbl IInpFil   </v>
      </c>
      <c r="S19" s="26" t="e">
        <f>T_Src[[#This Row],[Key]]&amp;#REF!&amp;T_Src[[#This Row],[As]]</f>
        <v>#REF!</v>
      </c>
      <c r="T19" s="26" t="str">
        <f>IF(ISBLANK(T_Src[[#This Row],[Ret]]),""," As "&amp;T_Src[[#This Row],[Ret]])</f>
        <v xml:space="preserve"> As Drs</v>
      </c>
    </row>
    <row r="20" spans="1:20" x14ac:dyDescent="0.35">
      <c r="A20" s="22" t="str">
        <f>T_Src[Pfx1]&amp;T_Src[Pfx2]&amp;T_Src[Pfx3]&amp;T_Src[N1]&amp;T_Src[N2]</f>
        <v>OU_FxExtnNFnd</v>
      </c>
      <c r="B20" s="8" t="str">
        <f>T_Src[[#This Row],[Pfx1]]&amp;T_Src[Pfx2]&amp;T_Src[[#This Row],[PSeq]]</f>
        <v>OU4</v>
      </c>
      <c r="C20" s="17" t="s">
        <v>85</v>
      </c>
      <c r="D20" s="17" t="s">
        <v>276</v>
      </c>
      <c r="E20" s="13">
        <v>16</v>
      </c>
      <c r="F20" s="13" t="s">
        <v>19</v>
      </c>
      <c r="G20" s="13" t="s">
        <v>24</v>
      </c>
      <c r="H20" s="13" t="s">
        <v>40</v>
      </c>
      <c r="I20" s="13">
        <v>4</v>
      </c>
      <c r="J20" s="13" t="s">
        <v>47</v>
      </c>
      <c r="K20" s="13" t="s">
        <v>44</v>
      </c>
      <c r="L20" s="16" t="s">
        <v>58</v>
      </c>
      <c r="M20" s="39" t="str">
        <f>Stp_TETblFld</f>
        <v>TETblFld</v>
      </c>
      <c r="N20" s="39" t="str">
        <f>Stp_IInpFil</f>
        <v>IInpFil</v>
      </c>
      <c r="R20" s="26" t="str">
        <f>T_Src[Fm1]&amp;" "&amp;T_Src[Fm2]&amp;" "&amp;T_Src[Fm3]&amp;" "&amp;T_Src[Fm4]&amp;" "&amp;T_Src[Fm5]</f>
        <v xml:space="preserve">TETblFld IInpFil   </v>
      </c>
      <c r="S20" s="26" t="e">
        <f>T_Src[[#This Row],[Key]]&amp;#REF!&amp;T_Src[[#This Row],[As]]</f>
        <v>#REF!</v>
      </c>
      <c r="T20" s="26" t="str">
        <f>IF(ISBLANK(T_Src[[#This Row],[Ret]]),""," As "&amp;T_Src[[#This Row],[Ret]])</f>
        <v xml:space="preserve"> As Drs</v>
      </c>
    </row>
    <row r="21" spans="1:20" x14ac:dyDescent="0.35">
      <c r="A21" s="22" t="str">
        <f>T_Src[Pfx1]&amp;T_Src[Pfx2]&amp;T_Src[Pfx3]&amp;T_Src[N1]&amp;T_Src[N2]</f>
        <v>OU_FxFldTyNMch</v>
      </c>
      <c r="B21" s="8" t="str">
        <f>T_Src[[#This Row],[Pfx1]]&amp;T_Src[Pfx2]&amp;T_Src[[#This Row],[PSeq]]</f>
        <v>OU5</v>
      </c>
      <c r="C21" s="17" t="s">
        <v>85</v>
      </c>
      <c r="D21" s="17" t="s">
        <v>276</v>
      </c>
      <c r="E21" s="13">
        <v>17</v>
      </c>
      <c r="F21" s="13" t="s">
        <v>19</v>
      </c>
      <c r="G21" s="13" t="s">
        <v>24</v>
      </c>
      <c r="H21" s="13" t="s">
        <v>40</v>
      </c>
      <c r="I21" s="13">
        <v>5</v>
      </c>
      <c r="J21" s="13" t="s">
        <v>79</v>
      </c>
      <c r="K21" s="13" t="s">
        <v>82</v>
      </c>
      <c r="L21" s="16" t="s">
        <v>59</v>
      </c>
      <c r="N21" s="39" t="str">
        <f>Stp_IInpFil</f>
        <v>IInpFil</v>
      </c>
      <c r="R21" s="26" t="str">
        <f>T_Src[Fm1]&amp;" "&amp;T_Src[Fm2]&amp;" "&amp;T_Src[Fm3]&amp;" "&amp;T_Src[Fm4]&amp;" "&amp;T_Src[Fm5]</f>
        <v xml:space="preserve"> IInpFil   </v>
      </c>
      <c r="S21" s="26" t="e">
        <f>T_Src[[#This Row],[Key]]&amp;#REF!&amp;T_Src[[#This Row],[As]]</f>
        <v>#REF!</v>
      </c>
      <c r="T21" s="26" t="str">
        <f>IF(ISBLANK(T_Src[[#This Row],[Ret]]),""," As "&amp;T_Src[[#This Row],[Ret]])</f>
        <v xml:space="preserve"> As Drs</v>
      </c>
    </row>
    <row r="22" spans="1:20" x14ac:dyDescent="0.35">
      <c r="A22" s="22" t="str">
        <f>T_Src[Pfx1]&amp;T_Src[Pfx2]&amp;T_Src[Pfx3]&amp;T_Src[N1]&amp;T_Src[N2]</f>
        <v>OU_All</v>
      </c>
      <c r="B22" s="11" t="str">
        <f>T_Src[[#This Row],[Pfx1]]&amp;T_Src[Pfx2]&amp;T_Src[[#This Row],[PSeq]]</f>
        <v>OU6</v>
      </c>
      <c r="C22" s="17" t="s">
        <v>85</v>
      </c>
      <c r="D22" s="17" t="s">
        <v>276</v>
      </c>
      <c r="E22" s="13">
        <v>18</v>
      </c>
      <c r="F22" s="13" t="s">
        <v>19</v>
      </c>
      <c r="G22" s="13" t="s">
        <v>24</v>
      </c>
      <c r="H22" s="13" t="s">
        <v>40</v>
      </c>
      <c r="I22" s="13">
        <v>6</v>
      </c>
      <c r="J22" s="13" t="s">
        <v>123</v>
      </c>
      <c r="K22" s="13"/>
      <c r="L22" s="16" t="s">
        <v>124</v>
      </c>
      <c r="M22" s="39" t="str">
        <f>Stp_OU_FfnNFnd</f>
        <v>OU_FfnNFnd</v>
      </c>
      <c r="N22" s="39" t="str">
        <f>Stp_OU_FbtNFnd</f>
        <v>OU_FbtNFnd</v>
      </c>
      <c r="O22" s="39" t="str">
        <f>Stp_OU_WsnNFnd</f>
        <v>OU_WsnNFnd</v>
      </c>
      <c r="P22" s="39" t="str">
        <f>Stp_OU_FxExtnNFnd</f>
        <v>OU_FxExtnNFnd</v>
      </c>
      <c r="Q22" s="39" t="str">
        <f>Stp_OU_FxFldTyNMch</f>
        <v>OU_FxFldTyNMch</v>
      </c>
      <c r="R22" s="26" t="str">
        <f>T_Src[Fm1]&amp;" "&amp;T_Src[Fm2]&amp;" "&amp;T_Src[Fm3]&amp;" "&amp;T_Src[Fm4]&amp;" "&amp;T_Src[Fm5]</f>
        <v>OU_FfnNFnd OU_FbtNFnd OU_WsnNFnd OU_FxExtnNFnd OU_FxFldTyNMch</v>
      </c>
      <c r="S22" s="26" t="e">
        <f>T_Src[[#This Row],[Key]]&amp;#REF!&amp;T_Src[[#This Row],[As]]</f>
        <v>#REF!</v>
      </c>
      <c r="T22" s="26" t="str">
        <f>IF(ISBLANK(T_Src[[#This Row],[Ret]]),""," As "&amp;T_Src[[#This Row],[Ret]])</f>
        <v xml:space="preserve"> As Drs</v>
      </c>
    </row>
    <row r="23" spans="1:20" x14ac:dyDescent="0.35">
      <c r="A23" s="22" t="str">
        <f>T_Src[Pfx1]&amp;T_Src[Pfx2]&amp;T_Src[Pfx3]&amp;T_Src[N1]&amp;T_Src[N2]</f>
        <v>OU_ThwIfEr</v>
      </c>
      <c r="B23" s="11" t="str">
        <f>T_Src[[#This Row],[Pfx1]]&amp;T_Src[Pfx2]&amp;T_Src[[#This Row],[PSeq]]</f>
        <v>OU7</v>
      </c>
      <c r="C23" s="17" t="s">
        <v>85</v>
      </c>
      <c r="D23" s="17" t="s">
        <v>277</v>
      </c>
      <c r="E23" s="13">
        <v>18.5</v>
      </c>
      <c r="F23" s="13" t="s">
        <v>19</v>
      </c>
      <c r="G23" s="13" t="s">
        <v>24</v>
      </c>
      <c r="H23" s="13" t="s">
        <v>40</v>
      </c>
      <c r="I23" s="13">
        <v>7</v>
      </c>
      <c r="J23" s="13" t="s">
        <v>278</v>
      </c>
      <c r="K23" s="13"/>
      <c r="L23" s="16" t="s">
        <v>124</v>
      </c>
      <c r="M23" s="39" t="str">
        <f>Stp_OU_FbtNFnd</f>
        <v>OU_FbtNFnd</v>
      </c>
      <c r="N23" s="39" t="str">
        <f>Stp_OU_WsnNFnd</f>
        <v>OU_WsnNFnd</v>
      </c>
      <c r="O23" s="39" t="str">
        <f>Stp_OU_FxExtnNFnd</f>
        <v>OU_FxExtnNFnd</v>
      </c>
      <c r="P23" s="39" t="str">
        <f>Stp_OU_FxFldTyNMch</f>
        <v>OU_FxFldTyNMch</v>
      </c>
      <c r="Q23" s="39" t="str">
        <f>Stp_OU_All</f>
        <v>OU_All</v>
      </c>
      <c r="R23" s="26" t="str">
        <f>T_Src[Fm1]&amp;" "&amp;T_Src[Fm2]&amp;" "&amp;T_Src[Fm3]&amp;" "&amp;T_Src[Fm4]&amp;" "&amp;T_Src[Fm5]</f>
        <v>OU_FbtNFnd OU_WsnNFnd OU_FxExtnNFnd OU_FxFldTyNMch OU_All</v>
      </c>
      <c r="S23" s="26" t="e">
        <f>T_Src[[#This Row],[Key]]&amp;#REF!&amp;T_Src[[#This Row],[As]]</f>
        <v>#REF!</v>
      </c>
      <c r="T23" s="26" t="str">
        <f>IF(ISBLANK(T_Src[[#This Row],[Ret]]),""," As "&amp;T_Src[[#This Row],[Ret]])</f>
        <v xml:space="preserve"> As Drs</v>
      </c>
    </row>
    <row r="24" spans="1:20" x14ac:dyDescent="0.35">
      <c r="A24" s="22" t="str">
        <f>T_Src[Pfx1]&amp;T_Src[Pfx2]&amp;T_Src[Pfx3]&amp;T_Src[N1]&amp;T_Src[N2]</f>
        <v>OS_FldDup</v>
      </c>
      <c r="B24" s="11" t="str">
        <f>T_Src[[#This Row],[Pfx1]]&amp;T_Src[Pfx2]&amp;T_Src[[#This Row],[PSeq]]</f>
        <v>OS1</v>
      </c>
      <c r="C24" s="17" t="s">
        <v>85</v>
      </c>
      <c r="D24" s="17" t="s">
        <v>276</v>
      </c>
      <c r="E24" s="13">
        <v>19</v>
      </c>
      <c r="F24" s="13" t="s">
        <v>19</v>
      </c>
      <c r="G24" s="13" t="s">
        <v>70</v>
      </c>
      <c r="H24" s="13" t="s">
        <v>40</v>
      </c>
      <c r="I24" s="13">
        <v>1</v>
      </c>
      <c r="J24" s="13" t="s">
        <v>78</v>
      </c>
      <c r="K24" s="13" t="s">
        <v>74</v>
      </c>
      <c r="L24" s="16" t="s">
        <v>60</v>
      </c>
      <c r="N24" s="39" t="str">
        <f>Stp_IInpFil</f>
        <v>IInpFil</v>
      </c>
      <c r="O24" s="35"/>
      <c r="R24" s="26" t="str">
        <f>T_Src[Fm1]&amp;" "&amp;T_Src[Fm2]&amp;" "&amp;T_Src[Fm3]&amp;" "&amp;T_Src[Fm4]&amp;" "&amp;T_Src[Fm5]</f>
        <v xml:space="preserve"> IInpFil   </v>
      </c>
      <c r="S24" s="26" t="e">
        <f>T_Src[[#This Row],[Key]]&amp;#REF!&amp;T_Src[[#This Row],[As]]</f>
        <v>#REF!</v>
      </c>
      <c r="T24" s="26" t="str">
        <f>IF(ISBLANK(T_Src[[#This Row],[Ret]]),""," As "&amp;T_Src[[#This Row],[Ret]])</f>
        <v xml:space="preserve"> As Drs</v>
      </c>
    </row>
    <row r="25" spans="1:20" x14ac:dyDescent="0.35">
      <c r="A25" s="22" t="str">
        <f>T_Src[Pfx1]&amp;T_Src[Pfx2]&amp;T_Src[Pfx3]&amp;T_Src[N1]&amp;T_Src[N2]</f>
        <v>OS_StruDup</v>
      </c>
      <c r="B25" s="11" t="str">
        <f>T_Src[[#This Row],[Pfx1]]&amp;T_Src[Pfx2]&amp;T_Src[[#This Row],[PSeq]]</f>
        <v>OS2</v>
      </c>
      <c r="C25" s="17" t="s">
        <v>85</v>
      </c>
      <c r="D25" s="17" t="s">
        <v>276</v>
      </c>
      <c r="E25" s="13">
        <v>20</v>
      </c>
      <c r="F25" s="13" t="s">
        <v>19</v>
      </c>
      <c r="G25" s="13" t="s">
        <v>70</v>
      </c>
      <c r="H25" s="13" t="s">
        <v>40</v>
      </c>
      <c r="I25" s="13">
        <v>2</v>
      </c>
      <c r="J25" s="13" t="s">
        <v>35</v>
      </c>
      <c r="K25" s="13" t="s">
        <v>74</v>
      </c>
      <c r="L25" s="16" t="s">
        <v>61</v>
      </c>
      <c r="M25" s="39" t="str">
        <f>Stp_JStru</f>
        <v>JStru</v>
      </c>
      <c r="N25" s="39" t="str">
        <f>Stp_IInpFil</f>
        <v>IInpFil</v>
      </c>
      <c r="R25" s="26" t="str">
        <f>T_Src[Fm1]&amp;" "&amp;T_Src[Fm2]&amp;" "&amp;T_Src[Fm3]&amp;" "&amp;T_Src[Fm4]&amp;" "&amp;T_Src[Fm5]</f>
        <v xml:space="preserve">JStru IInpFil   </v>
      </c>
      <c r="S25" s="26" t="e">
        <f>T_Src[[#This Row],[Key]]&amp;#REF!&amp;T_Src[[#This Row],[As]]</f>
        <v>#REF!</v>
      </c>
      <c r="T25" s="26" t="str">
        <f>IF(ISBLANK(T_Src[[#This Row],[Ret]]),""," As "&amp;T_Src[[#This Row],[Ret]])</f>
        <v xml:space="preserve"> As Drs</v>
      </c>
    </row>
    <row r="26" spans="1:20" x14ac:dyDescent="0.35">
      <c r="A26" s="22" t="str">
        <f>T_Src[Pfx1]&amp;T_Src[Pfx2]&amp;T_Src[Pfx3]&amp;T_Src[N1]&amp;T_Src[N2]</f>
        <v>OS_FldTyEr</v>
      </c>
      <c r="B26" s="11" t="str">
        <f>T_Src[[#This Row],[Pfx1]]&amp;T_Src[Pfx2]&amp;T_Src[[#This Row],[PSeq]]</f>
        <v>OS3</v>
      </c>
      <c r="C26" s="17" t="s">
        <v>85</v>
      </c>
      <c r="D26" s="17" t="s">
        <v>276</v>
      </c>
      <c r="E26" s="13">
        <v>21</v>
      </c>
      <c r="F26" s="13" t="s">
        <v>19</v>
      </c>
      <c r="G26" s="13" t="s">
        <v>70</v>
      </c>
      <c r="H26" s="13" t="s">
        <v>40</v>
      </c>
      <c r="I26" s="13">
        <v>3</v>
      </c>
      <c r="J26" s="13" t="s">
        <v>81</v>
      </c>
      <c r="K26" s="13" t="s">
        <v>29</v>
      </c>
      <c r="L26" s="16" t="s">
        <v>62</v>
      </c>
      <c r="N26" s="39" t="str">
        <f>Stp_IInpFil</f>
        <v>IInpFil</v>
      </c>
      <c r="R26" s="26" t="str">
        <f>T_Src[Fm1]&amp;" "&amp;T_Src[Fm2]&amp;" "&amp;T_Src[Fm3]&amp;" "&amp;T_Src[Fm4]&amp;" "&amp;T_Src[Fm5]</f>
        <v xml:space="preserve"> IInpFil   </v>
      </c>
      <c r="S26" s="26" t="e">
        <f>T_Src[[#This Row],[Key]]&amp;#REF!&amp;T_Src[[#This Row],[As]]</f>
        <v>#REF!</v>
      </c>
      <c r="T26" s="26" t="str">
        <f>IF(ISBLANK(T_Src[[#This Row],[Ret]]),""," As "&amp;T_Src[[#This Row],[Ret]])</f>
        <v xml:space="preserve"> As Drs</v>
      </c>
    </row>
    <row r="27" spans="1:20" x14ac:dyDescent="0.35">
      <c r="A27" s="22" t="str">
        <f>T_Src[Pfx1]&amp;T_Src[Pfx2]&amp;T_Src[Pfx3]&amp;T_Src[N1]&amp;T_Src[N2]</f>
        <v>OS_StruExcess</v>
      </c>
      <c r="B27" s="11" t="str">
        <f>T_Src[[#This Row],[Pfx1]]&amp;T_Src[Pfx2]&amp;T_Src[[#This Row],[PSeq]]</f>
        <v>OS4</v>
      </c>
      <c r="C27" s="17" t="s">
        <v>85</v>
      </c>
      <c r="D27" s="17" t="s">
        <v>276</v>
      </c>
      <c r="E27" s="13">
        <v>22</v>
      </c>
      <c r="F27" s="13" t="s">
        <v>19</v>
      </c>
      <c r="G27" s="13" t="s">
        <v>70</v>
      </c>
      <c r="H27" s="13" t="s">
        <v>40</v>
      </c>
      <c r="I27" s="13">
        <v>4</v>
      </c>
      <c r="J27" s="13" t="s">
        <v>35</v>
      </c>
      <c r="K27" s="13" t="s">
        <v>72</v>
      </c>
      <c r="L27" s="16" t="s">
        <v>63</v>
      </c>
      <c r="M27" s="39" t="str">
        <f>Stp_JStru</f>
        <v>JStru</v>
      </c>
      <c r="N27" s="39" t="str">
        <f>Stp_IInpFil</f>
        <v>IInpFil</v>
      </c>
      <c r="R27" s="26" t="str">
        <f>T_Src[Fm1]&amp;" "&amp;T_Src[Fm2]&amp;" "&amp;T_Src[Fm3]&amp;" "&amp;T_Src[Fm4]&amp;" "&amp;T_Src[Fm5]</f>
        <v xml:space="preserve">JStru IInpFil   </v>
      </c>
      <c r="S27" s="26" t="e">
        <f>T_Src[[#This Row],[Key]]&amp;#REF!&amp;T_Src[[#This Row],[As]]</f>
        <v>#REF!</v>
      </c>
      <c r="T27" s="26" t="str">
        <f>IF(ISBLANK(T_Src[[#This Row],[Ret]]),""," As "&amp;T_Src[[#This Row],[Ret]])</f>
        <v xml:space="preserve"> As Drs</v>
      </c>
    </row>
    <row r="28" spans="1:20" x14ac:dyDescent="0.35">
      <c r="A28" s="22" t="str">
        <f>T_Src[Pfx1]&amp;T_Src[Pfx2]&amp;T_Src[Pfx3]&amp;T_Src[N1]&amp;T_Src[N2]</f>
        <v>OS_StruInUse</v>
      </c>
      <c r="B28" s="11" t="str">
        <f>T_Src[[#This Row],[Pfx1]]&amp;T_Src[Pfx2]&amp;T_Src[[#This Row],[PSeq]]</f>
        <v>OS5</v>
      </c>
      <c r="C28" s="17" t="s">
        <v>85</v>
      </c>
      <c r="D28" s="17" t="s">
        <v>276</v>
      </c>
      <c r="E28" s="13">
        <v>23</v>
      </c>
      <c r="F28" s="13" t="s">
        <v>19</v>
      </c>
      <c r="G28" s="13" t="s">
        <v>70</v>
      </c>
      <c r="H28" s="13" t="s">
        <v>40</v>
      </c>
      <c r="I28" s="13">
        <v>5</v>
      </c>
      <c r="J28" s="13" t="s">
        <v>35</v>
      </c>
      <c r="K28" s="13" t="s">
        <v>80</v>
      </c>
      <c r="L28" s="16" t="s">
        <v>61</v>
      </c>
      <c r="M28" s="39" t="str">
        <f>Stp_JStru</f>
        <v>JStru</v>
      </c>
      <c r="N28" s="39" t="str">
        <f>Stp_IInpFil</f>
        <v>IInpFil</v>
      </c>
      <c r="R28" s="26" t="str">
        <f>T_Src[Fm1]&amp;" "&amp;T_Src[Fm2]&amp;" "&amp;T_Src[Fm3]&amp;" "&amp;T_Src[Fm4]&amp;" "&amp;T_Src[Fm5]</f>
        <v xml:space="preserve">JStru IInpFil   </v>
      </c>
      <c r="S28" s="26" t="e">
        <f>T_Src[[#This Row],[Key]]&amp;#REF!&amp;T_Src[[#This Row],[As]]</f>
        <v>#REF!</v>
      </c>
      <c r="T28" s="26" t="str">
        <f>IF(ISBLANK(T_Src[[#This Row],[Ret]]),""," As "&amp;T_Src[[#This Row],[Ret]])</f>
        <v xml:space="preserve"> As Drs</v>
      </c>
    </row>
    <row r="29" spans="1:20" x14ac:dyDescent="0.35">
      <c r="A29" s="22" t="str">
        <f>T_Src[Pfx1]&amp;T_Src[Pfx2]&amp;T_Src[Pfx3]&amp;T_Src[N1]&amp;T_Src[N2]</f>
        <v>OS_FxFldTyMis</v>
      </c>
      <c r="B29" s="11" t="str">
        <f>T_Src[[#This Row],[Pfx1]]&amp;T_Src[Pfx2]&amp;T_Src[[#This Row],[PSeq]]</f>
        <v>OS6</v>
      </c>
      <c r="C29" s="17" t="s">
        <v>85</v>
      </c>
      <c r="D29" s="17" t="s">
        <v>276</v>
      </c>
      <c r="E29" s="13">
        <v>24</v>
      </c>
      <c r="F29" s="13" t="s">
        <v>19</v>
      </c>
      <c r="G29" s="13" t="s">
        <v>70</v>
      </c>
      <c r="H29" s="13" t="s">
        <v>40</v>
      </c>
      <c r="I29" s="13">
        <v>6</v>
      </c>
      <c r="J29" s="13" t="s">
        <v>79</v>
      </c>
      <c r="K29" s="13" t="s">
        <v>75</v>
      </c>
      <c r="L29" s="16" t="s">
        <v>64</v>
      </c>
      <c r="N29" s="39" t="str">
        <f>Stp_IInpFil</f>
        <v>IInpFil</v>
      </c>
      <c r="R29" s="26" t="str">
        <f>T_Src[Fm1]&amp;" "&amp;T_Src[Fm2]&amp;" "&amp;T_Src[Fm3]&amp;" "&amp;T_Src[Fm4]&amp;" "&amp;T_Src[Fm5]</f>
        <v xml:space="preserve"> IInpFil   </v>
      </c>
      <c r="S29" s="26" t="e">
        <f>T_Src[[#This Row],[Key]]&amp;#REF!&amp;T_Src[[#This Row],[As]]</f>
        <v>#REF!</v>
      </c>
      <c r="T29" s="26" t="str">
        <f>IF(ISBLANK(T_Src[[#This Row],[Ret]]),""," As "&amp;T_Src[[#This Row],[Ret]])</f>
        <v xml:space="preserve"> As Drs</v>
      </c>
    </row>
    <row r="30" spans="1:20" x14ac:dyDescent="0.35">
      <c r="A30" s="22" t="str">
        <f>T_Src[Pfx1]&amp;T_Src[Pfx2]&amp;T_Src[Pfx3]&amp;T_Src[N1]&amp;T_Src[N2]</f>
        <v>OS_FldMis</v>
      </c>
      <c r="B30" s="11" t="str">
        <f>T_Src[[#This Row],[Pfx1]]&amp;T_Src[Pfx2]&amp;T_Src[[#This Row],[PSeq]]</f>
        <v>OS7</v>
      </c>
      <c r="C30" s="17" t="s">
        <v>85</v>
      </c>
      <c r="D30" s="17" t="s">
        <v>276</v>
      </c>
      <c r="E30" s="13">
        <v>25</v>
      </c>
      <c r="F30" s="13" t="s">
        <v>19</v>
      </c>
      <c r="G30" s="13" t="s">
        <v>70</v>
      </c>
      <c r="H30" s="13" t="s">
        <v>40</v>
      </c>
      <c r="I30" s="13">
        <v>7</v>
      </c>
      <c r="J30" s="13" t="s">
        <v>78</v>
      </c>
      <c r="K30" s="13" t="s">
        <v>75</v>
      </c>
      <c r="L30" s="16" t="s">
        <v>63</v>
      </c>
      <c r="N30" s="39" t="str">
        <f>Stp_IInpFil</f>
        <v>IInpFil</v>
      </c>
      <c r="R30" s="26" t="str">
        <f>T_Src[Fm1]&amp;" "&amp;T_Src[Fm2]&amp;" "&amp;T_Src[Fm3]&amp;" "&amp;T_Src[Fm4]&amp;" "&amp;T_Src[Fm5]</f>
        <v xml:space="preserve"> IInpFil   </v>
      </c>
      <c r="S30" s="26" t="e">
        <f>T_Src[[#This Row],[Key]]&amp;#REF!&amp;T_Src[[#This Row],[As]]</f>
        <v>#REF!</v>
      </c>
      <c r="T30" s="26" t="str">
        <f>IF(ISBLANK(T_Src[[#This Row],[Ret]]),""," As "&amp;T_Src[[#This Row],[Ret]])</f>
        <v xml:space="preserve"> As Drs</v>
      </c>
    </row>
    <row r="31" spans="1:20" x14ac:dyDescent="0.35">
      <c r="A31" s="22" t="str">
        <f>T_Src[Pfx1]&amp;T_Src[Pfx2]&amp;T_Src[Pfx3]&amp;T_Src[N1]&amp;T_Src[N2]</f>
        <v>OS_1</v>
      </c>
      <c r="B31" s="11" t="str">
        <f>T_Src[[#This Row],[Pfx1]]&amp;T_Src[Pfx2]&amp;T_Src[[#This Row],[PSeq]]</f>
        <v>OS8</v>
      </c>
      <c r="C31" s="17" t="s">
        <v>85</v>
      </c>
      <c r="D31" s="17" t="s">
        <v>276</v>
      </c>
      <c r="E31" s="13">
        <v>26</v>
      </c>
      <c r="F31" s="13" t="s">
        <v>19</v>
      </c>
      <c r="G31" s="13" t="s">
        <v>70</v>
      </c>
      <c r="H31" s="13" t="s">
        <v>40</v>
      </c>
      <c r="I31" s="13">
        <v>8</v>
      </c>
      <c r="J31" s="13">
        <v>1</v>
      </c>
      <c r="K31" s="13"/>
      <c r="L31" s="16" t="s">
        <v>124</v>
      </c>
      <c r="M31" s="39" t="str">
        <f>Stp_OS_FldDup</f>
        <v>OS_FldDup</v>
      </c>
      <c r="N31" s="39" t="str">
        <f>Stp_OS_StruDup</f>
        <v>OS_StruDup</v>
      </c>
      <c r="O31" s="39" t="str">
        <f>Stp_OS_FldTyEr</f>
        <v>OS_FldTyEr</v>
      </c>
      <c r="P31" s="39" t="str">
        <f>Stp_OS_StruExcess</f>
        <v>OS_StruExcess</v>
      </c>
      <c r="Q31" s="39" t="str">
        <f>Stp_OS_StruInUse</f>
        <v>OS_StruInUse</v>
      </c>
      <c r="R31" s="26" t="str">
        <f>T_Src[Fm1]&amp;" "&amp;T_Src[Fm2]&amp;" "&amp;T_Src[Fm3]&amp;" "&amp;T_Src[Fm4]&amp;" "&amp;T_Src[Fm5]</f>
        <v>OS_FldDup OS_StruDup OS_FldTyEr OS_StruExcess OS_StruInUse</v>
      </c>
      <c r="S31" s="26" t="e">
        <f>T_Src[[#This Row],[Key]]&amp;#REF!&amp;T_Src[[#This Row],[As]]</f>
        <v>#REF!</v>
      </c>
      <c r="T31" s="26" t="str">
        <f>IF(ISBLANK(T_Src[[#This Row],[Ret]]),""," As "&amp;T_Src[[#This Row],[Ret]])</f>
        <v xml:space="preserve"> As Drs</v>
      </c>
    </row>
    <row r="32" spans="1:20" x14ac:dyDescent="0.35">
      <c r="A32" s="22" t="str">
        <f>T_Src[Pfx1]&amp;T_Src[Pfx2]&amp;T_Src[Pfx3]&amp;T_Src[N1]&amp;T_Src[N2]</f>
        <v>OS_2</v>
      </c>
      <c r="B32" s="11" t="str">
        <f>T_Src[[#This Row],[Pfx1]]&amp;T_Src[Pfx2]&amp;T_Src[[#This Row],[PSeq]]</f>
        <v>OS9</v>
      </c>
      <c r="C32" s="17" t="s">
        <v>85</v>
      </c>
      <c r="D32" s="17" t="s">
        <v>276</v>
      </c>
      <c r="E32" s="13">
        <v>27</v>
      </c>
      <c r="F32" s="13" t="s">
        <v>19</v>
      </c>
      <c r="G32" s="13" t="s">
        <v>70</v>
      </c>
      <c r="H32" s="13" t="s">
        <v>40</v>
      </c>
      <c r="I32" s="13">
        <v>9</v>
      </c>
      <c r="J32" s="13">
        <v>2</v>
      </c>
      <c r="K32" s="13"/>
      <c r="L32" s="16" t="s">
        <v>124</v>
      </c>
      <c r="M32" s="39" t="str">
        <f>Stp_OS_FxFldTyMis</f>
        <v>OS_FxFldTyMis</v>
      </c>
      <c r="N32" s="39" t="str">
        <f>Stp_OS_FldMis</f>
        <v>OS_FldMis</v>
      </c>
      <c r="R32" s="26" t="str">
        <f>T_Src[Fm1]&amp;" "&amp;T_Src[Fm2]&amp;" "&amp;T_Src[Fm3]&amp;" "&amp;T_Src[Fm4]&amp;" "&amp;T_Src[Fm5]</f>
        <v xml:space="preserve">OS_FxFldTyMis OS_FldMis   </v>
      </c>
      <c r="S32" s="26" t="e">
        <f>T_Src[[#This Row],[Key]]&amp;#REF!&amp;T_Src[[#This Row],[As]]</f>
        <v>#REF!</v>
      </c>
      <c r="T32" s="26" t="str">
        <f>IF(ISBLANK(T_Src[[#This Row],[Ret]]),""," As "&amp;T_Src[[#This Row],[Ret]])</f>
        <v xml:space="preserve"> As Drs</v>
      </c>
    </row>
    <row r="33" spans="1:20" x14ac:dyDescent="0.35">
      <c r="A33" s="22" t="str">
        <f>T_Src[Pfx1]&amp;T_Src[Pfx2]&amp;T_Src[Pfx3]&amp;T_Src[N1]&amp;T_Src[N2]</f>
        <v>OS_All</v>
      </c>
      <c r="B33" s="11" t="str">
        <f>T_Src[[#This Row],[Pfx1]]&amp;T_Src[Pfx2]&amp;T_Src[[#This Row],[PSeq]]</f>
        <v>OS10</v>
      </c>
      <c r="C33" s="17" t="s">
        <v>85</v>
      </c>
      <c r="D33" s="17" t="s">
        <v>276</v>
      </c>
      <c r="E33" s="13">
        <v>28</v>
      </c>
      <c r="F33" s="13" t="s">
        <v>19</v>
      </c>
      <c r="G33" s="13" t="s">
        <v>70</v>
      </c>
      <c r="H33" s="13" t="s">
        <v>40</v>
      </c>
      <c r="I33" s="13">
        <v>10</v>
      </c>
      <c r="J33" s="13" t="s">
        <v>123</v>
      </c>
      <c r="K33" s="13"/>
      <c r="L33" s="16" t="s">
        <v>124</v>
      </c>
      <c r="M33" s="39" t="str">
        <f>Stp_OS_1</f>
        <v>OS_1</v>
      </c>
      <c r="N33" s="39" t="str">
        <f>Stp_OS_2</f>
        <v>OS_2</v>
      </c>
      <c r="R33" s="26" t="str">
        <f>T_Src[Fm1]&amp;" "&amp;T_Src[Fm2]&amp;" "&amp;T_Src[Fm3]&amp;" "&amp;T_Src[Fm4]&amp;" "&amp;T_Src[Fm5]</f>
        <v xml:space="preserve">OS_1 OS_2   </v>
      </c>
      <c r="S33" s="26" t="e">
        <f>T_Src[[#This Row],[Key]]&amp;#REF!&amp;T_Src[[#This Row],[As]]</f>
        <v>#REF!</v>
      </c>
      <c r="T33" s="26" t="str">
        <f>IF(ISBLANK(T_Src[[#This Row],[Ret]]),""," As "&amp;T_Src[[#This Row],[Ret]])</f>
        <v xml:space="preserve"> As Drs</v>
      </c>
    </row>
    <row r="34" spans="1:20" x14ac:dyDescent="0.35">
      <c r="A34" s="22" t="str">
        <f>T_Src[Pfx1]&amp;T_Src[Pfx2]&amp;T_Src[Pfx3]&amp;T_Src[N1]&amp;T_Src[N2]</f>
        <v>OX_StruNDef</v>
      </c>
      <c r="B34" s="11" t="str">
        <f>T_Src[[#This Row],[Pfx1]]&amp;T_Src[Pfx2]&amp;T_Src[[#This Row],[PSeq]]</f>
        <v>OX1</v>
      </c>
      <c r="C34" s="17" t="s">
        <v>85</v>
      </c>
      <c r="D34" s="17" t="s">
        <v>276</v>
      </c>
      <c r="E34" s="13">
        <v>29</v>
      </c>
      <c r="F34" s="13" t="s">
        <v>19</v>
      </c>
      <c r="G34" s="13" t="s">
        <v>26</v>
      </c>
      <c r="H34" s="13" t="s">
        <v>40</v>
      </c>
      <c r="I34" s="13">
        <v>1</v>
      </c>
      <c r="J34" s="13" t="s">
        <v>35</v>
      </c>
      <c r="K34" s="13" t="s">
        <v>73</v>
      </c>
      <c r="L34" s="16" t="s">
        <v>63</v>
      </c>
      <c r="M34" s="39" t="str">
        <f>Stp_JStru</f>
        <v>JStru</v>
      </c>
      <c r="N34" s="39" t="str">
        <f>Stp_IInpFil</f>
        <v>IInpFil</v>
      </c>
      <c r="R34" s="26" t="str">
        <f>T_Src[Fm1]&amp;" "&amp;T_Src[Fm2]&amp;" "&amp;T_Src[Fm3]&amp;" "&amp;T_Src[Fm4]&amp;" "&amp;T_Src[Fm5]</f>
        <v xml:space="preserve">JStru IInpFil   </v>
      </c>
      <c r="S34" s="26" t="e">
        <f>T_Src[[#This Row],[Key]]&amp;#REF!&amp;T_Src[[#This Row],[As]]</f>
        <v>#REF!</v>
      </c>
      <c r="T34" s="26" t="str">
        <f>IF(ISBLANK(T_Src[[#This Row],[Ret]]),""," As "&amp;T_Src[[#This Row],[Ret]])</f>
        <v xml:space="preserve"> As Drs</v>
      </c>
    </row>
    <row r="35" spans="1:20" x14ac:dyDescent="0.35">
      <c r="A35" s="22" t="str">
        <f>T_Src[Pfx1]&amp;T_Src[Pfx2]&amp;T_Src[Pfx3]&amp;T_Src[N1]&amp;T_Src[N2]</f>
        <v>OX_FxtDup</v>
      </c>
      <c r="B35" s="11" t="str">
        <f>T_Src[[#This Row],[Pfx1]]&amp;T_Src[Pfx2]&amp;T_Src[[#This Row],[PSeq]]</f>
        <v>OX2</v>
      </c>
      <c r="C35" s="17" t="s">
        <v>85</v>
      </c>
      <c r="D35" s="17" t="s">
        <v>276</v>
      </c>
      <c r="E35" s="13">
        <v>30</v>
      </c>
      <c r="F35" s="13" t="s">
        <v>19</v>
      </c>
      <c r="G35" s="13" t="s">
        <v>26</v>
      </c>
      <c r="H35" s="13" t="s">
        <v>40</v>
      </c>
      <c r="I35" s="13">
        <v>2</v>
      </c>
      <c r="J35" s="13" t="s">
        <v>76</v>
      </c>
      <c r="K35" s="13" t="s">
        <v>74</v>
      </c>
      <c r="L35" s="16" t="s">
        <v>65</v>
      </c>
      <c r="N35" s="39" t="str">
        <f>Stp_IInpFil</f>
        <v>IInpFil</v>
      </c>
      <c r="R35" s="26" t="str">
        <f>T_Src[Fm1]&amp;" "&amp;T_Src[Fm2]&amp;" "&amp;T_Src[Fm3]&amp;" "&amp;T_Src[Fm4]&amp;" "&amp;T_Src[Fm5]</f>
        <v xml:space="preserve"> IInpFil   </v>
      </c>
      <c r="S35" s="26" t="e">
        <f>T_Src[[#This Row],[Key]]&amp;#REF!&amp;T_Src[[#This Row],[As]]</f>
        <v>#REF!</v>
      </c>
      <c r="T35" s="26" t="str">
        <f>IF(ISBLANK(T_Src[[#This Row],[Ret]]),""," As "&amp;T_Src[[#This Row],[Ret]])</f>
        <v xml:space="preserve"> As Drs</v>
      </c>
    </row>
    <row r="36" spans="1:20" x14ac:dyDescent="0.35">
      <c r="A36" s="22" t="str">
        <f>T_Src[Pfx1]&amp;T_Src[Pfx2]&amp;T_Src[Pfx3]&amp;T_Src[N1]&amp;T_Src[N2]</f>
        <v>OX_FxtNDef</v>
      </c>
      <c r="B36" s="11" t="str">
        <f>T_Src[[#This Row],[Pfx1]]&amp;T_Src[Pfx2]&amp;T_Src[[#This Row],[PSeq]]</f>
        <v>OX3</v>
      </c>
      <c r="C36" s="17" t="s">
        <v>85</v>
      </c>
      <c r="D36" s="17" t="s">
        <v>276</v>
      </c>
      <c r="E36" s="13">
        <v>31</v>
      </c>
      <c r="F36" s="13" t="s">
        <v>19</v>
      </c>
      <c r="G36" s="13" t="s">
        <v>26</v>
      </c>
      <c r="H36" s="13" t="s">
        <v>40</v>
      </c>
      <c r="I36" s="13">
        <v>3</v>
      </c>
      <c r="J36" s="13" t="s">
        <v>76</v>
      </c>
      <c r="K36" s="13" t="s">
        <v>73</v>
      </c>
      <c r="L36" s="16" t="s">
        <v>66</v>
      </c>
      <c r="N36" s="39" t="str">
        <f>Stp_IInpFil</f>
        <v>IInpFil</v>
      </c>
      <c r="R36" s="26" t="str">
        <f>T_Src[Fm1]&amp;" "&amp;T_Src[Fm2]&amp;" "&amp;T_Src[Fm3]&amp;" "&amp;T_Src[Fm4]&amp;" "&amp;T_Src[Fm5]</f>
        <v xml:space="preserve"> IInpFil   </v>
      </c>
      <c r="S36" s="26" t="e">
        <f>T_Src[[#This Row],[Key]]&amp;#REF!&amp;T_Src[[#This Row],[As]]</f>
        <v>#REF!</v>
      </c>
      <c r="T36" s="26" t="str">
        <f>IF(ISBLANK(T_Src[[#This Row],[Ret]]),""," As "&amp;T_Src[[#This Row],[Ret]])</f>
        <v xml:space="preserve"> As Drs</v>
      </c>
    </row>
    <row r="37" spans="1:20" x14ac:dyDescent="0.35">
      <c r="A37" s="22" t="str">
        <f>T_Src[Pfx1]&amp;T_Src[Pfx2]&amp;T_Src[Pfx3]&amp;T_Src[N1]&amp;T_Src[N2]</f>
        <v>OX_All</v>
      </c>
      <c r="B37" s="11" t="str">
        <f>T_Src[[#This Row],[Pfx1]]&amp;T_Src[Pfx2]&amp;T_Src[[#This Row],[PSeq]]</f>
        <v>OX4</v>
      </c>
      <c r="C37" s="17" t="s">
        <v>85</v>
      </c>
      <c r="D37" s="17" t="s">
        <v>276</v>
      </c>
      <c r="E37" s="13">
        <v>32</v>
      </c>
      <c r="F37" s="13" t="s">
        <v>19</v>
      </c>
      <c r="G37" s="13" t="s">
        <v>26</v>
      </c>
      <c r="H37" s="13" t="s">
        <v>40</v>
      </c>
      <c r="I37" s="13">
        <v>4</v>
      </c>
      <c r="J37" s="13" t="s">
        <v>123</v>
      </c>
      <c r="K37" s="13"/>
      <c r="L37" s="16" t="s">
        <v>124</v>
      </c>
      <c r="M37" s="39" t="str">
        <f>Stp_JStru</f>
        <v>JStru</v>
      </c>
      <c r="N37" s="39" t="str">
        <f>Stp_IInpFil</f>
        <v>IInpFil</v>
      </c>
      <c r="R37" s="26" t="str">
        <f>T_Src[Fm1]&amp;" "&amp;T_Src[Fm2]&amp;" "&amp;T_Src[Fm3]&amp;" "&amp;T_Src[Fm4]&amp;" "&amp;T_Src[Fm5]</f>
        <v xml:space="preserve">JStru IInpFil   </v>
      </c>
      <c r="S37" s="26" t="e">
        <f>T_Src[[#This Row],[Key]]&amp;#REF!&amp;T_Src[[#This Row],[As]]</f>
        <v>#REF!</v>
      </c>
      <c r="T37" s="26" t="str">
        <f>IF(ISBLANK(T_Src[[#This Row],[Ret]]),""," As "&amp;T_Src[[#This Row],[Ret]])</f>
        <v xml:space="preserve"> As Drs</v>
      </c>
    </row>
    <row r="38" spans="1:20" x14ac:dyDescent="0.35">
      <c r="A38" s="22" t="str">
        <f>T_Src[Pfx1]&amp;T_Src[Pfx2]&amp;T_Src[Pfx3]&amp;T_Src[N1]&amp;T_Src[N2]</f>
        <v>OB_StruNDef</v>
      </c>
      <c r="B38" s="11" t="str">
        <f>T_Src[[#This Row],[Pfx1]]&amp;T_Src[Pfx2]&amp;T_Src[[#This Row],[PSeq]]</f>
        <v>OB1</v>
      </c>
      <c r="C38" s="17" t="s">
        <v>85</v>
      </c>
      <c r="D38" s="17" t="s">
        <v>276</v>
      </c>
      <c r="E38" s="13">
        <v>33</v>
      </c>
      <c r="F38" s="13" t="s">
        <v>19</v>
      </c>
      <c r="G38" s="13" t="s">
        <v>25</v>
      </c>
      <c r="H38" s="13" t="s">
        <v>40</v>
      </c>
      <c r="I38" s="13">
        <v>1</v>
      </c>
      <c r="J38" s="13" t="s">
        <v>35</v>
      </c>
      <c r="K38" s="13" t="s">
        <v>73</v>
      </c>
      <c r="L38" s="16" t="s">
        <v>67</v>
      </c>
      <c r="M38" s="39" t="str">
        <f>Stp_OX_StruNDef</f>
        <v>OX_StruNDef</v>
      </c>
      <c r="N38" s="39" t="str">
        <f>Stp_OX_FxtDup</f>
        <v>OX_FxtDup</v>
      </c>
      <c r="O38" s="39" t="str">
        <f>Stp_OX_All</f>
        <v>OX_All</v>
      </c>
      <c r="R38" s="26" t="str">
        <f>T_Src[Fm1]&amp;" "&amp;T_Src[Fm2]&amp;" "&amp;T_Src[Fm3]&amp;" "&amp;T_Src[Fm4]&amp;" "&amp;T_Src[Fm5]</f>
        <v xml:space="preserve">OX_StruNDef OX_FxtDup OX_All  </v>
      </c>
      <c r="S38" s="26" t="e">
        <f>T_Src[[#This Row],[Key]]&amp;#REF!&amp;T_Src[[#This Row],[As]]</f>
        <v>#REF!</v>
      </c>
      <c r="T38" s="26" t="str">
        <f>IF(ISBLANK(T_Src[[#This Row],[Ret]]),""," As "&amp;T_Src[[#This Row],[Ret]])</f>
        <v xml:space="preserve"> As Drs</v>
      </c>
    </row>
    <row r="39" spans="1:20" x14ac:dyDescent="0.35">
      <c r="A39" s="22" t="str">
        <f>T_Src[Pfx1]&amp;T_Src[Pfx2]&amp;T_Src[Pfx3]&amp;T_Src[N1]&amp;T_Src[N2]</f>
        <v>OB_FbnNDef</v>
      </c>
      <c r="B39" s="11" t="str">
        <f>T_Src[[#This Row],[Pfx1]]&amp;T_Src[Pfx2]&amp;T_Src[[#This Row],[PSeq]]</f>
        <v>OB2</v>
      </c>
      <c r="C39" s="17" t="s">
        <v>85</v>
      </c>
      <c r="D39" s="17" t="s">
        <v>276</v>
      </c>
      <c r="E39" s="13">
        <v>34</v>
      </c>
      <c r="F39" s="13" t="s">
        <v>19</v>
      </c>
      <c r="G39" s="13" t="s">
        <v>25</v>
      </c>
      <c r="H39" s="13" t="s">
        <v>40</v>
      </c>
      <c r="I39" s="13">
        <v>2</v>
      </c>
      <c r="J39" s="13" t="s">
        <v>77</v>
      </c>
      <c r="K39" s="13" t="s">
        <v>73</v>
      </c>
      <c r="L39" s="16" t="s">
        <v>68</v>
      </c>
      <c r="N39" s="39" t="str">
        <f>Stp_IInpFil</f>
        <v>IInpFil</v>
      </c>
      <c r="R39" s="26" t="str">
        <f>T_Src[Fm1]&amp;" "&amp;T_Src[Fm2]&amp;" "&amp;T_Src[Fm3]&amp;" "&amp;T_Src[Fm4]&amp;" "&amp;T_Src[Fm5]</f>
        <v xml:space="preserve"> IInpFil   </v>
      </c>
      <c r="S39" s="26" t="e">
        <f>T_Src[[#This Row],[Key]]&amp;#REF!&amp;T_Src[[#This Row],[As]]</f>
        <v>#REF!</v>
      </c>
      <c r="T39" s="26" t="str">
        <f>IF(ISBLANK(T_Src[[#This Row],[Ret]]),""," As "&amp;T_Src[[#This Row],[Ret]])</f>
        <v xml:space="preserve"> As Drs</v>
      </c>
    </row>
    <row r="40" spans="1:20" x14ac:dyDescent="0.35">
      <c r="A40" s="22" t="str">
        <f>T_Src[Pfx1]&amp;T_Src[Pfx2]&amp;T_Src[Pfx3]&amp;T_Src[N1]&amp;T_Src[N2]</f>
        <v>OB_FbtMis</v>
      </c>
      <c r="B40" s="11" t="str">
        <f>T_Src[[#This Row],[Pfx1]]&amp;T_Src[Pfx2]&amp;T_Src[[#This Row],[PSeq]]</f>
        <v>OB3</v>
      </c>
      <c r="C40" s="17" t="s">
        <v>85</v>
      </c>
      <c r="D40" s="17" t="s">
        <v>276</v>
      </c>
      <c r="E40" s="13">
        <v>35</v>
      </c>
      <c r="F40" s="13" t="s">
        <v>19</v>
      </c>
      <c r="G40" s="13" t="s">
        <v>25</v>
      </c>
      <c r="H40" s="13" t="s">
        <v>40</v>
      </c>
      <c r="I40" s="13">
        <v>3</v>
      </c>
      <c r="J40" s="13" t="s">
        <v>45</v>
      </c>
      <c r="K40" s="13" t="s">
        <v>75</v>
      </c>
      <c r="L40" s="16" t="s">
        <v>49</v>
      </c>
      <c r="N40" s="39" t="str">
        <f>Stp_IInpFil</f>
        <v>IInpFil</v>
      </c>
      <c r="R40" s="26" t="str">
        <f>T_Src[Fm1]&amp;" "&amp;T_Src[Fm2]&amp;" "&amp;T_Src[Fm3]&amp;" "&amp;T_Src[Fm4]&amp;" "&amp;T_Src[Fm5]</f>
        <v xml:space="preserve"> IInpFil   </v>
      </c>
      <c r="S40" s="26" t="e">
        <f>T_Src[[#This Row],[Key]]&amp;#REF!&amp;T_Src[[#This Row],[As]]</f>
        <v>#REF!</v>
      </c>
      <c r="T40" s="26" t="str">
        <f>IF(ISBLANK(T_Src[[#This Row],[Ret]]),""," As "&amp;T_Src[[#This Row],[Ret]])</f>
        <v xml:space="preserve"> As Drs</v>
      </c>
    </row>
    <row r="41" spans="1:20" x14ac:dyDescent="0.35">
      <c r="A41" s="22" t="str">
        <f>T_Src[Pfx1]&amp;T_Src[Pfx2]&amp;T_Src[Pfx3]&amp;T_Src[N1]&amp;T_Src[N2]</f>
        <v>OB_All</v>
      </c>
      <c r="B41" s="11" t="str">
        <f>T_Src[[#This Row],[Pfx1]]&amp;T_Src[Pfx2]&amp;T_Src[[#This Row],[PSeq]]</f>
        <v>OB4</v>
      </c>
      <c r="C41" s="17" t="s">
        <v>85</v>
      </c>
      <c r="D41" s="17" t="s">
        <v>276</v>
      </c>
      <c r="E41" s="13">
        <v>36</v>
      </c>
      <c r="F41" s="13" t="s">
        <v>19</v>
      </c>
      <c r="G41" s="13" t="s">
        <v>25</v>
      </c>
      <c r="H41" s="13" t="s">
        <v>40</v>
      </c>
      <c r="I41" s="13">
        <v>4</v>
      </c>
      <c r="J41" s="13" t="s">
        <v>123</v>
      </c>
      <c r="K41" s="13"/>
      <c r="L41" s="16" t="s">
        <v>124</v>
      </c>
      <c r="M41" s="39" t="str">
        <f>Stp_OB_StruNDef</f>
        <v>OB_StruNDef</v>
      </c>
      <c r="N41" s="39" t="str">
        <f>Stp_OB_FbnNDef</f>
        <v>OB_FbnNDef</v>
      </c>
      <c r="O41" s="39" t="str">
        <f>Stp_OB_FbtMis</f>
        <v>OB_FbtMis</v>
      </c>
      <c r="R41" s="26" t="str">
        <f>T_Src[Fm1]&amp;" "&amp;T_Src[Fm2]&amp;" "&amp;T_Src[Fm3]&amp;" "&amp;T_Src[Fm4]&amp;" "&amp;T_Src[Fm5]</f>
        <v xml:space="preserve">OB_StruNDef OB_FbnNDef OB_FbtMis  </v>
      </c>
      <c r="S41" s="26" t="e">
        <f>T_Src[[#This Row],[Key]]&amp;#REF!&amp;T_Src[[#This Row],[As]]</f>
        <v>#REF!</v>
      </c>
      <c r="T41" s="26" t="str">
        <f>IF(ISBLANK(T_Src[[#This Row],[Ret]]),""," As "&amp;T_Src[[#This Row],[Ret]])</f>
        <v xml:space="preserve"> As Drs</v>
      </c>
    </row>
    <row r="42" spans="1:20" x14ac:dyDescent="0.35">
      <c r="A42" s="22" t="str">
        <f>T_Src[Pfx1]&amp;T_Src[Pfx2]&amp;T_Src[Pfx3]&amp;T_Src[N1]&amp;T_Src[N2]</f>
        <v>OW_TblDup</v>
      </c>
      <c r="B42" s="11" t="str">
        <f>T_Src[[#This Row],[Pfx1]]&amp;T_Src[Pfx2]&amp;T_Src[[#This Row],[PSeq]]</f>
        <v>OW1</v>
      </c>
      <c r="C42" s="17" t="s">
        <v>85</v>
      </c>
      <c r="D42" s="17" t="s">
        <v>276</v>
      </c>
      <c r="E42" s="13">
        <v>37</v>
      </c>
      <c r="F42" s="13" t="s">
        <v>19</v>
      </c>
      <c r="G42" s="13" t="s">
        <v>34</v>
      </c>
      <c r="H42" s="13" t="s">
        <v>40</v>
      </c>
      <c r="I42" s="13">
        <v>1</v>
      </c>
      <c r="J42" s="13" t="s">
        <v>71</v>
      </c>
      <c r="K42" s="13" t="s">
        <v>74</v>
      </c>
      <c r="L42" s="16" t="s">
        <v>65</v>
      </c>
      <c r="M42" s="38" t="str">
        <f>Stp_TTbl</f>
        <v>TTbl</v>
      </c>
      <c r="N42" s="39" t="str">
        <f>Stp_IInpFil</f>
        <v>IInpFil</v>
      </c>
      <c r="R42" s="26" t="str">
        <f>T_Src[Fm1]&amp;" "&amp;T_Src[Fm2]&amp;" "&amp;T_Src[Fm3]&amp;" "&amp;T_Src[Fm4]&amp;" "&amp;T_Src[Fm5]</f>
        <v xml:space="preserve">TTbl IInpFil   </v>
      </c>
      <c r="S42" s="26" t="e">
        <f>T_Src[[#This Row],[Key]]&amp;#REF!&amp;T_Src[[#This Row],[As]]</f>
        <v>#REF!</v>
      </c>
      <c r="T42" s="26" t="str">
        <f>IF(ISBLANK(T_Src[[#This Row],[Ret]]),""," As "&amp;T_Src[[#This Row],[Ret]])</f>
        <v xml:space="preserve"> As Drs</v>
      </c>
    </row>
    <row r="43" spans="1:20" x14ac:dyDescent="0.35">
      <c r="A43" s="22" t="str">
        <f>T_Src[Pfx1]&amp;T_Src[Pfx2]&amp;T_Src[Pfx3]&amp;T_Src[N1]&amp;T_Src[N2]</f>
        <v>OW_TblNDef</v>
      </c>
      <c r="B43" s="11" t="str">
        <f>T_Src[[#This Row],[Pfx1]]&amp;T_Src[Pfx2]&amp;T_Src[[#This Row],[PSeq]]</f>
        <v>OW2</v>
      </c>
      <c r="C43" s="17" t="s">
        <v>85</v>
      </c>
      <c r="D43" s="17" t="s">
        <v>276</v>
      </c>
      <c r="E43" s="13">
        <v>38</v>
      </c>
      <c r="F43" s="13" t="s">
        <v>19</v>
      </c>
      <c r="G43" s="13" t="s">
        <v>34</v>
      </c>
      <c r="H43" s="13" t="s">
        <v>40</v>
      </c>
      <c r="I43" s="13">
        <v>2</v>
      </c>
      <c r="J43" s="13" t="s">
        <v>71</v>
      </c>
      <c r="K43" s="13" t="s">
        <v>73</v>
      </c>
      <c r="L43" s="16" t="s">
        <v>69</v>
      </c>
      <c r="M43" s="38" t="str">
        <f>Stp_TTbl</f>
        <v>TTbl</v>
      </c>
      <c r="N43" s="39" t="str">
        <f>Stp_IInpFil</f>
        <v>IInpFil</v>
      </c>
      <c r="R43" s="26" t="str">
        <f>T_Src[Fm1]&amp;" "&amp;T_Src[Fm2]&amp;" "&amp;T_Src[Fm3]&amp;" "&amp;T_Src[Fm4]&amp;" "&amp;T_Src[Fm5]</f>
        <v xml:space="preserve">TTbl IInpFil   </v>
      </c>
      <c r="S43" s="26" t="e">
        <f>T_Src[[#This Row],[Key]]&amp;#REF!&amp;T_Src[[#This Row],[As]]</f>
        <v>#REF!</v>
      </c>
      <c r="T43" s="26" t="str">
        <f>IF(ISBLANK(T_Src[[#This Row],[Ret]]),""," As "&amp;T_Src[[#This Row],[Ret]])</f>
        <v xml:space="preserve"> As Drs</v>
      </c>
    </row>
    <row r="44" spans="1:20" x14ac:dyDescent="0.35">
      <c r="A44" s="22" t="str">
        <f>T_Src[Pfx1]&amp;T_Src[Pfx2]&amp;T_Src[Pfx3]&amp;T_Src[N1]&amp;T_Src[N2]</f>
        <v>OW_TblExcess</v>
      </c>
      <c r="B44" s="11" t="str">
        <f>T_Src[[#This Row],[Pfx1]]&amp;T_Src[Pfx2]&amp;T_Src[[#This Row],[PSeq]]</f>
        <v>OW3</v>
      </c>
      <c r="C44" s="17" t="s">
        <v>85</v>
      </c>
      <c r="D44" s="17" t="s">
        <v>276</v>
      </c>
      <c r="E44" s="13">
        <v>39</v>
      </c>
      <c r="F44" s="13" t="s">
        <v>19</v>
      </c>
      <c r="G44" s="13" t="s">
        <v>34</v>
      </c>
      <c r="H44" s="13" t="s">
        <v>40</v>
      </c>
      <c r="I44" s="13">
        <v>3</v>
      </c>
      <c r="J44" s="13" t="s">
        <v>71</v>
      </c>
      <c r="K44" s="13" t="s">
        <v>72</v>
      </c>
      <c r="L44" s="16" t="s">
        <v>69</v>
      </c>
      <c r="M44" s="38" t="str">
        <f>Stp_TTbl</f>
        <v>TTbl</v>
      </c>
      <c r="N44" s="39" t="str">
        <f>Stp_IInpFil</f>
        <v>IInpFil</v>
      </c>
      <c r="R44" s="26" t="str">
        <f>T_Src[Fm1]&amp;" "&amp;T_Src[Fm2]&amp;" "&amp;T_Src[Fm3]&amp;" "&amp;T_Src[Fm4]&amp;" "&amp;T_Src[Fm5]</f>
        <v xml:space="preserve">TTbl IInpFil   </v>
      </c>
      <c r="S44" s="26" t="e">
        <f>T_Src[[#This Row],[Key]]&amp;#REF!&amp;T_Src[[#This Row],[As]]</f>
        <v>#REF!</v>
      </c>
      <c r="T44" s="26" t="str">
        <f>IF(ISBLANK(T_Src[[#This Row],[Ret]]),""," As "&amp;T_Src[[#This Row],[Ret]])</f>
        <v xml:space="preserve"> As Drs</v>
      </c>
    </row>
    <row r="45" spans="1:20" x14ac:dyDescent="0.35">
      <c r="A45" s="22" t="str">
        <f>T_Src[Pfx1]&amp;T_Src[Pfx2]&amp;T_Src[Pfx3]&amp;T_Src[N1]&amp;T_Src[N2]</f>
        <v>OW_All</v>
      </c>
      <c r="B45" s="11" t="str">
        <f>T_Src[[#This Row],[Pfx1]]&amp;T_Src[Pfx2]&amp;T_Src[[#This Row],[PSeq]]</f>
        <v>OW4</v>
      </c>
      <c r="C45" s="17" t="s">
        <v>85</v>
      </c>
      <c r="D45" s="17" t="s">
        <v>276</v>
      </c>
      <c r="E45" s="13">
        <v>40</v>
      </c>
      <c r="F45" s="13" t="s">
        <v>19</v>
      </c>
      <c r="G45" s="13" t="s">
        <v>34</v>
      </c>
      <c r="H45" s="13" t="s">
        <v>40</v>
      </c>
      <c r="I45" s="13">
        <v>4</v>
      </c>
      <c r="J45" s="13" t="s">
        <v>123</v>
      </c>
      <c r="K45" s="13"/>
      <c r="L45" s="16" t="s">
        <v>124</v>
      </c>
      <c r="M45" s="39" t="str">
        <f>Stp_OW_TblDup</f>
        <v>OW_TblDup</v>
      </c>
      <c r="N45" s="39" t="str">
        <f>Stp_OW_TblNDef</f>
        <v>OW_TblNDef</v>
      </c>
      <c r="O45" s="39" t="str">
        <f>Stp_OW_TblExcess</f>
        <v>OW_TblExcess</v>
      </c>
      <c r="R45" s="26" t="str">
        <f>T_Src[Fm1]&amp;" "&amp;T_Src[Fm2]&amp;" "&amp;T_Src[Fm3]&amp;" "&amp;T_Src[Fm4]&amp;" "&amp;T_Src[Fm5]</f>
        <v xml:space="preserve">OW_TblDup OW_TblNDef OW_TblExcess  </v>
      </c>
      <c r="S45" s="26" t="e">
        <f>T_Src[[#This Row],[Key]]&amp;#REF!&amp;T_Src[[#This Row],[As]]</f>
        <v>#REF!</v>
      </c>
      <c r="T45" s="26" t="str">
        <f>IF(ISBLANK(T_Src[[#This Row],[Ret]]),""," As "&amp;T_Src[[#This Row],[Ret]])</f>
        <v xml:space="preserve"> As Drs</v>
      </c>
    </row>
    <row r="46" spans="1:20" x14ac:dyDescent="0.35">
      <c r="A46" s="22" t="str">
        <f>T_Src[Pfx1]&amp;T_Src[Pfx2]&amp;T_Src[Pfx3]&amp;T_Src[N1]&amp;T_Src[N2]</f>
        <v>OEr</v>
      </c>
      <c r="B46" s="11" t="str">
        <f>T_Src[[#This Row],[Pfx1]]&amp;T_Src[Pfx2]&amp;T_Src[[#This Row],[PSeq]]</f>
        <v>O1</v>
      </c>
      <c r="C46" s="17" t="s">
        <v>85</v>
      </c>
      <c r="D46" s="17" t="s">
        <v>276</v>
      </c>
      <c r="E46" s="13">
        <v>41</v>
      </c>
      <c r="F46" s="13" t="s">
        <v>19</v>
      </c>
      <c r="G46" s="13"/>
      <c r="H46" s="13"/>
      <c r="I46" s="13">
        <v>1</v>
      </c>
      <c r="J46" s="13" t="s">
        <v>29</v>
      </c>
      <c r="K46" s="13"/>
      <c r="L46" s="16" t="s">
        <v>124</v>
      </c>
      <c r="M46" s="39" t="str">
        <f>Stp_OS_All</f>
        <v>OS_All</v>
      </c>
      <c r="N46" s="39" t="str">
        <f>Stp_OB_All</f>
        <v>OB_All</v>
      </c>
      <c r="O46" s="39" t="str">
        <f>Stp_OX_All</f>
        <v>OX_All</v>
      </c>
      <c r="P46" s="39" t="str">
        <f>Stp_OW_All</f>
        <v>OW_All</v>
      </c>
      <c r="R46" s="26" t="str">
        <f>T_Src[Fm1]&amp;" "&amp;T_Src[Fm2]&amp;" "&amp;T_Src[Fm3]&amp;" "&amp;T_Src[Fm4]&amp;" "&amp;T_Src[Fm5]</f>
        <v xml:space="preserve">OS_All OB_All OX_All OW_All </v>
      </c>
      <c r="S46" s="26" t="e">
        <f>T_Src[[#This Row],[Key]]&amp;#REF!&amp;T_Src[[#This Row],[As]]</f>
        <v>#REF!</v>
      </c>
      <c r="T46" s="26" t="str">
        <f>IF(ISBLANK(T_Src[[#This Row],[Ret]]),""," As "&amp;T_Src[[#This Row],[Ret]])</f>
        <v xml:space="preserve"> As Drs</v>
      </c>
    </row>
    <row r="47" spans="1:20" x14ac:dyDescent="0.35">
      <c r="A47" s="22" t="str">
        <f>T_Src[Pfx1]&amp;T_Src[Pfx2]&amp;T_Src[Pfx3]&amp;T_Src[N1]&amp;T_Src[N2]</f>
        <v>OThwIfEr</v>
      </c>
      <c r="B47" s="11" t="str">
        <f>T_Src[[#This Row],[Pfx1]]&amp;T_Src[Pfx2]&amp;T_Src[[#This Row],[PSeq]]</f>
        <v>O2</v>
      </c>
      <c r="C47" s="17" t="s">
        <v>85</v>
      </c>
      <c r="D47" s="17" t="s">
        <v>277</v>
      </c>
      <c r="E47" s="13">
        <v>41</v>
      </c>
      <c r="F47" s="13" t="s">
        <v>19</v>
      </c>
      <c r="G47" s="13"/>
      <c r="H47" s="13"/>
      <c r="I47" s="13">
        <v>2</v>
      </c>
      <c r="J47" s="13" t="s">
        <v>279</v>
      </c>
      <c r="K47" s="13" t="s">
        <v>280</v>
      </c>
      <c r="L47" s="16" t="s">
        <v>124</v>
      </c>
      <c r="M47" s="39" t="str">
        <f>Stp_OS_All</f>
        <v>OS_All</v>
      </c>
      <c r="N47" s="39" t="str">
        <f>Stp_OB_All</f>
        <v>OB_All</v>
      </c>
      <c r="O47" s="39" t="str">
        <f>Stp_OX_All</f>
        <v>OX_All</v>
      </c>
      <c r="P47" s="39" t="str">
        <f>Stp_OW_All</f>
        <v>OW_All</v>
      </c>
      <c r="R47" s="26" t="str">
        <f>T_Src[Fm1]&amp;" "&amp;T_Src[Fm2]&amp;" "&amp;T_Src[Fm3]&amp;" "&amp;T_Src[Fm4]&amp;" "&amp;T_Src[Fm5]</f>
        <v xml:space="preserve">OS_All OB_All OX_All OW_All </v>
      </c>
      <c r="S47" s="26" t="e">
        <f>T_Src[[#This Row],[Key]]&amp;#REF!&amp;T_Src[[#This Row],[As]]</f>
        <v>#REF!</v>
      </c>
      <c r="T47" s="26" t="str">
        <f>IF(ISBLANK(T_Src[[#This Row],[Ret]]),""," As "&amp;T_Src[[#This Row],[Ret]])</f>
        <v xml:space="preserve"> As Drs</v>
      </c>
    </row>
    <row r="48" spans="1:20" x14ac:dyDescent="0.35">
      <c r="A48" s="25" t="str">
        <f>T_Src[Pfx1]&amp;T_Src[Pfx2]&amp;T_Src[Pfx3]&amp;T_Src[N1]&amp;T_Src[N2]</f>
        <v>RsltCn</v>
      </c>
      <c r="B48" s="11" t="str">
        <f>T_Src[[#This Row],[Pfx1]]&amp;T_Src[Pfx2]&amp;T_Src[[#This Row],[PSeq]]</f>
        <v>Rslt1</v>
      </c>
      <c r="C48" s="17" t="s">
        <v>85</v>
      </c>
      <c r="D48" s="17" t="s">
        <v>276</v>
      </c>
      <c r="E48" s="13">
        <v>42</v>
      </c>
      <c r="F48" s="17" t="s">
        <v>14</v>
      </c>
      <c r="G48" s="17"/>
      <c r="H48" s="17"/>
      <c r="I48" s="17">
        <v>1</v>
      </c>
      <c r="J48" s="17" t="s">
        <v>125</v>
      </c>
      <c r="K48" s="17"/>
      <c r="L48" s="16" t="s">
        <v>127</v>
      </c>
      <c r="M48" s="39" t="str">
        <f>Stp_TTbl</f>
        <v>TTbl</v>
      </c>
      <c r="R48" s="26" t="str">
        <f>T_Src[Fm1]&amp;" "&amp;T_Src[Fm2]&amp;" "&amp;T_Src[Fm3]&amp;" "&amp;T_Src[Fm4]&amp;" "&amp;T_Src[Fm5]</f>
        <v xml:space="preserve">TTbl    </v>
      </c>
      <c r="S48" s="26" t="e">
        <f>T_Src[[#This Row],[Key]]&amp;#REF!&amp;T_Src[[#This Row],[As]]</f>
        <v>#REF!</v>
      </c>
      <c r="T48" s="26" t="str">
        <f>IF(ISBLANK(T_Src[[#This Row],[Ret]]),""," As "&amp;T_Src[[#This Row],[Ret]])</f>
        <v xml:space="preserve"> As Drs</v>
      </c>
    </row>
    <row r="49" spans="1:20" x14ac:dyDescent="0.35">
      <c r="A49" s="25" t="str">
        <f>T_Src[Pfx1]&amp;T_Src[Pfx2]&amp;T_Src[Pfx3]&amp;T_Src[N1]&amp;T_Src[N2]</f>
        <v>RsltSql</v>
      </c>
      <c r="B49" s="11" t="str">
        <f>T_Src[[#This Row],[Pfx1]]&amp;T_Src[Pfx2]&amp;T_Src[[#This Row],[PSeq]]</f>
        <v>Rslt2</v>
      </c>
      <c r="C49" s="17" t="s">
        <v>100</v>
      </c>
      <c r="D49" s="17" t="s">
        <v>276</v>
      </c>
      <c r="E49" s="13">
        <v>43</v>
      </c>
      <c r="F49" s="17" t="s">
        <v>14</v>
      </c>
      <c r="G49" s="17"/>
      <c r="H49" s="17"/>
      <c r="I49" s="17">
        <v>2</v>
      </c>
      <c r="J49" s="17" t="s">
        <v>126</v>
      </c>
      <c r="K49" s="17"/>
      <c r="L49" s="16" t="s">
        <v>126</v>
      </c>
      <c r="M49" s="39" t="str">
        <f>Stp_TTbl</f>
        <v>TTbl</v>
      </c>
      <c r="N49" s="38" t="str">
        <f>Stp_TTbl</f>
        <v>TTbl</v>
      </c>
      <c r="R49" s="26" t="str">
        <f>T_Src[Fm1]&amp;" "&amp;T_Src[Fm2]&amp;" "&amp;T_Src[Fm3]&amp;" "&amp;T_Src[Fm4]&amp;" "&amp;T_Src[Fm5]</f>
        <v xml:space="preserve">TTbl TTbl   </v>
      </c>
      <c r="S49" s="26" t="e">
        <f>T_Src[[#This Row],[Key]]&amp;#REF!&amp;T_Src[[#This Row],[As]]</f>
        <v>#REF!</v>
      </c>
      <c r="T49" s="26" t="str">
        <f>IF(ISBLANK(T_Src[[#This Row],[Ret]]),""," As "&amp;T_Src[[#This Row],[Ret]])</f>
        <v xml:space="preserve"> As String()</v>
      </c>
    </row>
    <row r="50" spans="1:20" x14ac:dyDescent="0.35">
      <c r="A50" s="25" t="str">
        <f>T_Src[Pfx1]&amp;T_Src[Pfx2]&amp;T_Src[Pfx3]&amp;T_Src[N1]&amp;T_Src[N2]</f>
        <v>LnkImp</v>
      </c>
      <c r="B50" s="11" t="str">
        <f>T_Src[[#This Row],[Pfx1]]&amp;T_Src[Pfx2]&amp;T_Src[[#This Row],[PSeq]]</f>
        <v/>
      </c>
      <c r="C50" s="17"/>
      <c r="D50" s="17" t="s">
        <v>277</v>
      </c>
      <c r="E50" s="17"/>
      <c r="F50" s="17"/>
      <c r="G50" s="17"/>
      <c r="H50" s="17"/>
      <c r="I50" s="17"/>
      <c r="J50" s="17" t="s">
        <v>31</v>
      </c>
      <c r="K50" s="17"/>
      <c r="L50" s="16"/>
      <c r="M50" s="39" t="str">
        <f>Stp_RsltCn</f>
        <v>RsltCn</v>
      </c>
      <c r="N50" s="39" t="str">
        <f>Stp_RsltSql</f>
        <v>RsltSql</v>
      </c>
      <c r="R50" s="26" t="str">
        <f>T_Src[Fm1]&amp;" "&amp;T_Src[Fm2]&amp;" "&amp;T_Src[Fm3]&amp;" "&amp;T_Src[Fm4]&amp;" "&amp;T_Src[Fm5]</f>
        <v xml:space="preserve">RsltCn RsltSql   </v>
      </c>
      <c r="S50" s="26" t="e">
        <f>T_Src[[#This Row],[Key]]&amp;#REF!&amp;T_Src[[#This Row],[As]]</f>
        <v>#REF!</v>
      </c>
      <c r="T50" s="26" t="str">
        <f>IF(ISBLANK(T_Src[[#This Row],[Ret]]),""," As "&amp;T_Src[[#This Row],[Ret]])</f>
        <v/>
      </c>
    </row>
    <row r="51" spans="1:20" x14ac:dyDescent="0.35">
      <c r="A51" s="25">
        <f>SUBTOTAL(103,T_Src[Key])</f>
        <v>46</v>
      </c>
      <c r="B51" s="11"/>
      <c r="C51" s="27"/>
      <c r="D51" s="27"/>
      <c r="E51" s="17"/>
      <c r="F51" s="17"/>
      <c r="G51" s="17"/>
      <c r="H51" s="17"/>
      <c r="I51" s="17"/>
      <c r="J51" s="17"/>
      <c r="K51" s="17"/>
      <c r="L51" s="26"/>
      <c r="R51" s="16"/>
      <c r="S51" s="16"/>
      <c r="T51" s="16"/>
    </row>
    <row r="54" spans="1:20" x14ac:dyDescent="0.35">
      <c r="A54" s="16" t="s">
        <v>98</v>
      </c>
      <c r="B54" t="s">
        <v>131</v>
      </c>
    </row>
    <row r="55" spans="1:20" x14ac:dyDescent="0.35">
      <c r="A55" s="16" t="s">
        <v>98</v>
      </c>
      <c r="B55" t="s">
        <v>131</v>
      </c>
    </row>
    <row r="56" spans="1:20" x14ac:dyDescent="0.35">
      <c r="A56" s="16" t="s">
        <v>281</v>
      </c>
      <c r="B56" t="s">
        <v>282</v>
      </c>
    </row>
  </sheetData>
  <hyperlinks>
    <hyperlink ref="M7" location="Stp_InpFilSrc" display="Stp_InpFilSrc" xr:uid="{ACEE7B72-63A5-4096-9165-1267E908C550}"/>
    <hyperlink ref="M8" location="Stp_LnkImpSrc" display="Stp_LnkImpSrc" xr:uid="{D077DECA-4E73-45B4-9D85-BD7207ABBD8B}"/>
    <hyperlink ref="M9" location="Stp_ILnkImp" display="Stp_ILnkImp" xr:uid="{D60178B4-62E0-4092-813E-71A6A6BE1662}"/>
    <hyperlink ref="M10" location="Stp_ILnkImp" display="Stp_ILnkImp" xr:uid="{8216782C-AD72-4263-A8D0-5380CFA15DCC}"/>
    <hyperlink ref="M11" location="Stp_ILnkImp" display="Stp_ILnkImp" xr:uid="{634E516E-71AD-4F3E-924B-C5C81D31BCC9}"/>
    <hyperlink ref="M12" location="Stp_ILnkImp" display="Stp_ILnkImp" xr:uid="{9E9FB98F-FA22-490B-A3CB-9A3505DF1E28}"/>
    <hyperlink ref="M13" location="Stp_ILnkImp" display="Stp_ILnkImp" xr:uid="{912337BC-6223-4614-970C-75D0007917E5}"/>
    <hyperlink ref="M14" location="Stp_JFxTbl" display="Stp_JFxTbl" xr:uid="{BE3F9C0B-B44E-4B91-98C1-D48121F00353}"/>
    <hyperlink ref="N14" location="Stp_JFbTbl" display="Stp_JFbTbl" xr:uid="{C5F53A38-5C4D-4D23-9F29-F02E419B6927}"/>
    <hyperlink ref="M15" location="Stp_TTbl" display="Stp_TTbl" xr:uid="{376F5999-9614-40CC-AB1A-B01EC9CA5000}"/>
    <hyperlink ref="N15" location="Stp_JStruF" display="Stp_JStruF" xr:uid="{C0E71C56-B2F9-4CBE-BB5B-3498AE9F0A5F}"/>
    <hyperlink ref="M16" location="Stp_TTbl" display="Stp_TTbl" xr:uid="{47ACB51E-32D0-48EF-802C-B21390384021}"/>
    <hyperlink ref="M17" location="Stp_JFxTbl" display="Stp_JFxTbl" xr:uid="{ADC574A3-5D95-4ACD-8BE5-33D2ABB42AF2}"/>
    <hyperlink ref="N17" location="Stp_IInpFil" display="Stp_IInpFil" xr:uid="{F4201E23-EE12-46D6-8E57-B4E2DDA6AD69}"/>
    <hyperlink ref="M18" location="Stp_JFxTbl" display="Stp_JFxTbl" xr:uid="{8A62CAD9-1E44-47D1-A37F-A63BFE927348}"/>
    <hyperlink ref="N18" location="Stp_IInpFil" display="Stp_IInpFil" xr:uid="{8C55219E-37E2-49A2-A14B-46947DB2A006}"/>
    <hyperlink ref="M19" location="Stp_TTbl" display="Stp_TTbl" xr:uid="{4CB8DFB5-5356-4A03-9A13-D96B339C0A40}"/>
    <hyperlink ref="N19" location="Stp_IInpFil" display="Stp_IInpFil" xr:uid="{323E534C-D414-4808-A540-C1C516C6A36B}"/>
    <hyperlink ref="M20" location="Stp_TETblFld" display="Stp_TETblFld" xr:uid="{B812FC80-4789-4B7B-84F2-610E6E8E28A5}"/>
    <hyperlink ref="N20" location="Stp_IInpFil" display="Stp_IInpFil" xr:uid="{16173798-8917-49A5-9E6F-F76698B752A9}"/>
    <hyperlink ref="N21" location="Stp_IInpFil" display="Stp_IInpFil" xr:uid="{31C07151-88E0-4222-8378-D741C58CF795}"/>
    <hyperlink ref="M22" location="Stp_OU_FfnNFnd" display="Stp_OU_FfnNFnd" xr:uid="{CAED5E5B-4B77-4EC8-A5DD-477F45ED4D2B}"/>
    <hyperlink ref="N22" location="Stp_OU_FbtNFnd" display="Stp_OU_FbtNFnd" xr:uid="{D064A38A-287B-49F4-90FB-1DE04CD75449}"/>
    <hyperlink ref="O22" location="Stp_OU_WsnNFnd" display="Stp_OU_WsnNFnd" xr:uid="{4D14078C-9B5F-4F30-B6B0-8ADF5B3C2E91}"/>
    <hyperlink ref="P22" location="Stp_OU_FxExtnNFnd" display="Stp_OU_FxExtnNFnd" xr:uid="{07B1FD21-0841-44D2-9D03-5A9E9D0EBB9A}"/>
    <hyperlink ref="Q22" location="Stp_OU_FxFldTyNMch" display="Stp_OU_FxFldTyNMch" xr:uid="{27C41035-0FDC-4B5A-8329-D68FD2B177AA}"/>
    <hyperlink ref="M23" location="Stp_OU_FbtNFnd" display="Stp_OU_FbtNFnd" xr:uid="{E9AE5D84-6104-43DF-AC67-4467DA8243CC}"/>
    <hyperlink ref="N23" location="Stp_OU_WsnNFnd" display="Stp_OU_WsnNFnd" xr:uid="{73F88D9B-8446-4252-832F-8EF9212B3F74}"/>
    <hyperlink ref="O23" location="Stp_OU_FxExtnNFnd" display="Stp_OU_FxExtnNFnd" xr:uid="{7544A731-93A1-4548-AB19-EC9406DE4CF3}"/>
    <hyperlink ref="P23" location="Stp_OU_FxFldTyNMch" display="Stp_OU_FxFldTyNMch" xr:uid="{F3C83232-09AF-4813-BF0F-217FCF9D3DF2}"/>
    <hyperlink ref="Q23" location="Stp_OU_All" display="Stp_OU_All" xr:uid="{3C910EF5-2F17-4889-A15A-6417F8948884}"/>
    <hyperlink ref="N24" location="Stp_IInpFil" display="Stp_IInpFil" xr:uid="{26C3D037-70A2-411A-AC1E-99863FCD1D28}"/>
    <hyperlink ref="M25" location="Stp_JStru" display="Stp_JStru" xr:uid="{227EC674-3DD0-4356-875F-337F88B7FEA8}"/>
    <hyperlink ref="N25" location="Stp_IInpFil" display="Stp_IInpFil" xr:uid="{AB303F5D-3561-4B1E-AA8D-1D5881D6BD1A}"/>
    <hyperlink ref="N26" location="Stp_IInpFil" display="Stp_IInpFil" xr:uid="{7F635E06-F4AC-4F65-AA0D-3F41EBECC44E}"/>
    <hyperlink ref="M27" location="Stp_JStru" display="Stp_JStru" xr:uid="{0153B474-3CBB-4D45-BB93-68AFF01C8C1B}"/>
    <hyperlink ref="N27" location="Stp_IInpFil" display="Stp_IInpFil" xr:uid="{094E266D-AF5A-4CD9-93A5-12735A46E2C1}"/>
    <hyperlink ref="M28" location="Stp_JStru" display="Stp_JStru" xr:uid="{D4E56705-69C9-45E3-9AA6-0CBAFEA9E94D}"/>
    <hyperlink ref="N28" location="Stp_IInpFil" display="Stp_IInpFil" xr:uid="{D95B09AD-63EE-4A80-A02F-D9BCC386CA36}"/>
    <hyperlink ref="N29" location="Stp_IInpFil" display="Stp_IInpFil" xr:uid="{B192DCD8-CB25-44C0-8D85-559AA43CA293}"/>
    <hyperlink ref="N30" location="Stp_IInpFil" display="Stp_IInpFil" xr:uid="{535B30A4-C83F-42CE-BABB-C9CAFF5D5919}"/>
    <hyperlink ref="M31" location="Stp_OS_FldDup" display="Stp_OS_FldDup" xr:uid="{80EA7CDC-B407-424A-AF58-06F9D28ADB16}"/>
    <hyperlink ref="N31" location="Stp_OS_StruDup" display="Stp_OS_StruDup" xr:uid="{26C92C3A-1956-4ED9-A00A-4EF310BD0653}"/>
    <hyperlink ref="O31" location="Stp_OS_FldTyEr" display="Stp_OS_FldTyEr" xr:uid="{47E3B865-64E0-4C43-B5E0-07237CB3452C}"/>
    <hyperlink ref="P31" location="Stp_OS_StruExcess" display="Stp_OS_StruExcess" xr:uid="{2F150037-E16C-4403-BA62-36994009C1A3}"/>
    <hyperlink ref="Q31" location="Stp_OS_StruInUse" display="Stp_OS_StruInUse" xr:uid="{8EB1203C-2AE9-41FD-9B08-F488A9319983}"/>
    <hyperlink ref="M32" location="Stp_OS_FxFldTyMis" display="Stp_OS_FxFldTyMis" xr:uid="{10A439C5-7FCE-485A-90D4-6BB9D68B822F}"/>
    <hyperlink ref="N32" location="Stp_OS_FldMis" display="Stp_OS_FldMis" xr:uid="{A2BAA04E-0F46-4170-94A0-A8E30B4DE99F}"/>
    <hyperlink ref="M33" location="Stp_OS_1" display="Stp_OS_1" xr:uid="{E2A5D2D6-AD3A-4302-A1FF-5E7B162D2E86}"/>
    <hyperlink ref="N33" location="Stp_OS_2" display="Stp_OS_2" xr:uid="{702EC82E-B597-4D5F-A17A-593DFEE5CAF8}"/>
    <hyperlink ref="M34" location="Stp_JStru" display="Stp_JStru" xr:uid="{53C3A5F4-E4C3-4C8C-AB7C-EBE70753D9D6}"/>
    <hyperlink ref="N34" location="Stp_IInpFil" display="Stp_IInpFil" xr:uid="{42726ADA-8324-4CED-9012-7188F13892CA}"/>
    <hyperlink ref="N35" location="Stp_IInpFil" display="Stp_IInpFil" xr:uid="{620C1146-A736-4621-9026-F43C31D30BE7}"/>
    <hyperlink ref="N36" location="Stp_IInpFil" display="Stp_IInpFil" xr:uid="{C9E886E5-6E2D-4623-BEA7-61608EDEF799}"/>
    <hyperlink ref="M37" location="Stp_JStru" display="Stp_JStru" xr:uid="{959B9F63-18FC-49FA-915D-622CBBAC125A}"/>
    <hyperlink ref="N37" location="Stp_IInpFil" display="Stp_IInpFil" xr:uid="{8F0735B0-E043-4BB8-A291-3981CC137C41}"/>
    <hyperlink ref="M38" location="Stp_OX_StruNDef" display="Stp_OX_StruNDef" xr:uid="{11836DA3-E744-42C4-AAB9-9DB1A6691692}"/>
    <hyperlink ref="N38" location="Stp_OX_FxtDup" display="Stp_OX_FxtDup" xr:uid="{35971B87-8735-4B42-85B8-0BC858FCDAA2}"/>
    <hyperlink ref="O38" location="Stp_OX_All" display="Stp_OX_All" xr:uid="{3701E6CB-40EF-4827-94E9-3807A55B1B05}"/>
    <hyperlink ref="N39" location="Stp_IInpFil" display="Stp_IInpFil" xr:uid="{6323C6EC-7B29-45DF-A871-D935CA598E32}"/>
    <hyperlink ref="N40" location="Stp_IInpFil" display="Stp_IInpFil" xr:uid="{113FB1DE-40B2-4E58-A46F-E93162320ECB}"/>
    <hyperlink ref="M41" location="Stp_OB_StruNDef" display="Stp_OB_StruNDef" xr:uid="{5D4AD0D4-B8CF-4BE1-9502-BC11F82440B1}"/>
    <hyperlink ref="N41" location="Stp_OB_FbnNDef" display="Stp_OB_FbnNDef" xr:uid="{C13A4B55-9D38-4E4F-8894-19C5B8191FBD}"/>
    <hyperlink ref="O41" location="Stp_OB_FbtMis" display="Stp_OB_FbtMis" xr:uid="{24F101F7-E165-4DEC-BD2C-DCC79E35CE16}"/>
    <hyperlink ref="M42" location="Stp_TTbl" display="Stp_TTbl" xr:uid="{08F742C3-931E-4B99-B29C-B77E6D0C92EA}"/>
    <hyperlink ref="N42" location="Stp_IInpFil" display="Stp_IInpFil" xr:uid="{44D53850-9C6A-4816-8A9C-5C637E7E301B}"/>
    <hyperlink ref="M43" location="Stp_TTbl" display="Stp_TTbl" xr:uid="{29732A8E-CC12-43C5-B238-5162236C4DB7}"/>
    <hyperlink ref="N43" location="Stp_IInpFil" display="Stp_IInpFil" xr:uid="{7841739A-EBA4-4E82-89BD-1D2A1E1A92C2}"/>
    <hyperlink ref="M44" location="Stp_TTbl" display="Stp_TTbl" xr:uid="{BE5EE360-DBE5-4963-99D7-C7C112F43BE2}"/>
    <hyperlink ref="N44" location="Stp_IInpFil" display="Stp_IInpFil" xr:uid="{28D805A0-B4A2-4DA8-BE87-5DFD0D45B4BF}"/>
    <hyperlink ref="M45" location="Stp_OW_TblDup" display="Stp_OW_TblDup" xr:uid="{ADE31D59-8B50-493A-8BD4-BBA7782EE671}"/>
    <hyperlink ref="N45" location="Stp_OW_TblNDef" display="Stp_OW_TblNDef" xr:uid="{BA0EBE52-3D32-4C0C-89D6-DD78EED2D21C}"/>
    <hyperlink ref="O45" location="Stp_OW_TblExcess" display="Stp_OW_TblExcess" xr:uid="{8073BF08-DFB4-491B-8112-393B54D983E1}"/>
    <hyperlink ref="M46" location="Stp_OS_All" display="Stp_OS_All" xr:uid="{BA3211E9-DD75-4E74-B481-749832C40D76}"/>
    <hyperlink ref="N46" location="Stp_OB_All" display="Stp_OB_All" xr:uid="{F546A32F-4026-44E5-A066-253EAF284755}"/>
    <hyperlink ref="O46" location="Stp_OX_All" display="Stp_OX_All" xr:uid="{5874A352-1396-4C64-88EE-E886D530C1B5}"/>
    <hyperlink ref="P46" location="Stp_OW_All" display="Stp_OW_All" xr:uid="{A600246E-7D45-472C-8712-0DB611C721A6}"/>
    <hyperlink ref="M47" location="Stp_OS_All" display="Stp_OS_All" xr:uid="{E0ABDD74-E66D-42A4-9D9E-BC05574C8707}"/>
    <hyperlink ref="N47" location="Stp_OB_All" display="Stp_OB_All" xr:uid="{FF56F058-B4E6-4D1D-AB3C-A3E8F4558CC3}"/>
    <hyperlink ref="O47" location="Stp_OX_All" display="Stp_OX_All" xr:uid="{B91596C8-6F6D-4BAC-8911-A119709F786D}"/>
    <hyperlink ref="P47" location="Stp_OW_All" display="Stp_OW_All" xr:uid="{8A320305-F048-4058-B512-3B3CD94D685A}"/>
    <hyperlink ref="M48" location="Stp_TTbl" display="Stp_TTbl" xr:uid="{25D241D4-9195-4A79-A223-A628EF77952E}"/>
    <hyperlink ref="M49" location="Stp_TTbl" display="Stp_TTbl" xr:uid="{9C733CD8-77EF-462E-BDB8-1061B80275F3}"/>
    <hyperlink ref="N49" location="Stp_TTbl" display="Stp_TTbl" xr:uid="{1C53B7BE-2FF9-4EE1-A4BF-A9BB66806E98}"/>
    <hyperlink ref="M50" location="Stp_RsltCn" display="Stp_RsltCn" xr:uid="{45A7279A-D5BE-46EE-AC22-AC4F789E81A5}"/>
    <hyperlink ref="N50" location="Stp_RsltSql" display="Stp_RsltSql" xr:uid="{DD44B620-2AD9-4D55-BB63-6A47EF4E7433}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8" r:id="rId3" name="CommandButton2">
          <controlPr defaultSize="0" autoLine="0" r:id="rId4">
            <anchor moveWithCells="1" sizeWithCells="1">
              <from>
                <xdr:col>12</xdr:col>
                <xdr:colOff>57150</xdr:colOff>
                <xdr:row>1</xdr:row>
                <xdr:rowOff>50800</xdr:rowOff>
              </from>
              <to>
                <xdr:col>13</xdr:col>
                <xdr:colOff>228600</xdr:colOff>
                <xdr:row>1</xdr:row>
                <xdr:rowOff>323850</xdr:rowOff>
              </to>
            </anchor>
          </controlPr>
        </control>
      </mc:Choice>
      <mc:Fallback>
        <control shapeId="11268" r:id="rId3" name="CommandButton2"/>
      </mc:Fallback>
    </mc:AlternateContent>
    <mc:AlternateContent xmlns:mc="http://schemas.openxmlformats.org/markup-compatibility/2006">
      <mc:Choice Requires="x14">
        <control shapeId="11267" r:id="rId5" name="CommandButton1">
          <controlPr defaultSize="0" autoLine="0" autoPict="0" r:id="rId6">
            <anchor moveWithCells="1" sizeWithCells="1">
              <from>
                <xdr:col>0</xdr:col>
                <xdr:colOff>57150</xdr:colOff>
                <xdr:row>1</xdr:row>
                <xdr:rowOff>50800</xdr:rowOff>
              </from>
              <to>
                <xdr:col>0</xdr:col>
                <xdr:colOff>1028700</xdr:colOff>
                <xdr:row>1</xdr:row>
                <xdr:rowOff>323850</xdr:rowOff>
              </to>
            </anchor>
          </controlPr>
        </control>
      </mc:Choice>
      <mc:Fallback>
        <control shapeId="11267" r:id="rId5" name="CommandButton1"/>
      </mc:Fallback>
    </mc:AlternateContent>
  </controls>
  <tableParts count="2"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2C955-CF6F-4905-A119-55DBC8ED4F69}">
  <sheetPr codeName="WsKey"/>
  <dimension ref="A1:B134"/>
  <sheetViews>
    <sheetView workbookViewId="0">
      <selection activeCell="B5" sqref="B5"/>
    </sheetView>
  </sheetViews>
  <sheetFormatPr defaultRowHeight="14.5" x14ac:dyDescent="0.35"/>
  <cols>
    <col min="1" max="1" width="10.26953125" customWidth="1"/>
    <col min="2" max="2" width="15.6328125" bestFit="1" customWidth="1"/>
  </cols>
  <sheetData>
    <row r="1" spans="1:2" x14ac:dyDescent="0.35">
      <c r="A1" t="s">
        <v>270</v>
      </c>
      <c r="B1" t="s">
        <v>14</v>
      </c>
    </row>
    <row r="2" spans="1:2" x14ac:dyDescent="0.35">
      <c r="A2" t="s">
        <v>137</v>
      </c>
      <c r="B2" t="str">
        <f ca="1">INDIRECT(A2)</f>
        <v>LnkImpSrc</v>
      </c>
    </row>
    <row r="3" spans="1:2" x14ac:dyDescent="0.35">
      <c r="A3" t="s">
        <v>138</v>
      </c>
      <c r="B3" t="str">
        <f t="shared" ref="B3:B66" ca="1" si="0">INDIRECT(A3)</f>
        <v>IInpFil</v>
      </c>
    </row>
    <row r="4" spans="1:2" x14ac:dyDescent="0.35">
      <c r="A4" t="s">
        <v>139</v>
      </c>
      <c r="B4" t="str">
        <f t="shared" ca="1" si="0"/>
        <v>ILnkImp</v>
      </c>
    </row>
    <row r="5" spans="1:2" x14ac:dyDescent="0.35">
      <c r="A5" t="s">
        <v>140</v>
      </c>
      <c r="B5" t="str">
        <f t="shared" ca="1" si="0"/>
        <v>JStru</v>
      </c>
    </row>
    <row r="6" spans="1:2" x14ac:dyDescent="0.35">
      <c r="A6" t="s">
        <v>141</v>
      </c>
      <c r="B6" t="str">
        <f t="shared" ca="1" si="0"/>
        <v>JStruF</v>
      </c>
    </row>
    <row r="7" spans="1:2" x14ac:dyDescent="0.35">
      <c r="A7" t="s">
        <v>142</v>
      </c>
      <c r="B7" t="str">
        <f t="shared" ca="1" si="0"/>
        <v>JFxTbl</v>
      </c>
    </row>
    <row r="8" spans="1:2" x14ac:dyDescent="0.35">
      <c r="A8" t="s">
        <v>143</v>
      </c>
      <c r="B8" t="str">
        <f t="shared" ca="1" si="0"/>
        <v>JFbTbl</v>
      </c>
    </row>
    <row r="9" spans="1:2" x14ac:dyDescent="0.35">
      <c r="A9" t="s">
        <v>144</v>
      </c>
      <c r="B9" t="str">
        <f t="shared" ca="1" si="0"/>
        <v>JTblWh</v>
      </c>
    </row>
    <row r="10" spans="1:2" x14ac:dyDescent="0.35">
      <c r="A10" t="s">
        <v>145</v>
      </c>
      <c r="B10" t="str">
        <f t="shared" ca="1" si="0"/>
        <v>TTbl</v>
      </c>
    </row>
    <row r="11" spans="1:2" x14ac:dyDescent="0.35">
      <c r="A11" t="s">
        <v>146</v>
      </c>
      <c r="B11" t="str">
        <f t="shared" ca="1" si="0"/>
        <v>TETblFld</v>
      </c>
    </row>
    <row r="12" spans="1:2" x14ac:dyDescent="0.35">
      <c r="A12" t="s">
        <v>147</v>
      </c>
      <c r="B12" t="str">
        <f t="shared" ca="1" si="0"/>
        <v>TATblFld</v>
      </c>
    </row>
    <row r="13" spans="1:2" x14ac:dyDescent="0.35">
      <c r="A13" t="s">
        <v>148</v>
      </c>
      <c r="B13" t="str">
        <f t="shared" ca="1" si="0"/>
        <v>OU_FfnNFnd</v>
      </c>
    </row>
    <row r="14" spans="1:2" x14ac:dyDescent="0.35">
      <c r="A14" t="s">
        <v>149</v>
      </c>
      <c r="B14" t="str">
        <f t="shared" ca="1" si="0"/>
        <v>OU_FbtNFnd</v>
      </c>
    </row>
    <row r="15" spans="1:2" x14ac:dyDescent="0.35">
      <c r="A15" t="s">
        <v>150</v>
      </c>
      <c r="B15" t="str">
        <f t="shared" ca="1" si="0"/>
        <v>OU_WsnNFnd</v>
      </c>
    </row>
    <row r="16" spans="1:2" x14ac:dyDescent="0.35">
      <c r="A16" t="s">
        <v>151</v>
      </c>
      <c r="B16" t="str">
        <f t="shared" ca="1" si="0"/>
        <v>OU_FxExtnNFnd</v>
      </c>
    </row>
    <row r="17" spans="1:2" x14ac:dyDescent="0.35">
      <c r="A17" t="s">
        <v>152</v>
      </c>
      <c r="B17" t="str">
        <f t="shared" ca="1" si="0"/>
        <v>OU_FxFldTyNMch</v>
      </c>
    </row>
    <row r="18" spans="1:2" x14ac:dyDescent="0.35">
      <c r="A18" t="s">
        <v>153</v>
      </c>
      <c r="B18" t="str">
        <f t="shared" ca="1" si="0"/>
        <v>OU_All</v>
      </c>
    </row>
    <row r="19" spans="1:2" x14ac:dyDescent="0.35">
      <c r="A19" t="s">
        <v>154</v>
      </c>
      <c r="B19" t="str">
        <f t="shared" ca="1" si="0"/>
        <v>OU_ThwIfEr</v>
      </c>
    </row>
    <row r="20" spans="1:2" x14ac:dyDescent="0.35">
      <c r="A20" t="s">
        <v>155</v>
      </c>
      <c r="B20" t="str">
        <f t="shared" ca="1" si="0"/>
        <v>OS_FldDup</v>
      </c>
    </row>
    <row r="21" spans="1:2" x14ac:dyDescent="0.35">
      <c r="A21" t="s">
        <v>156</v>
      </c>
      <c r="B21" t="str">
        <f t="shared" ca="1" si="0"/>
        <v>OS_StruDup</v>
      </c>
    </row>
    <row r="22" spans="1:2" x14ac:dyDescent="0.35">
      <c r="A22" t="s">
        <v>157</v>
      </c>
      <c r="B22" t="str">
        <f t="shared" ca="1" si="0"/>
        <v>OS_FldTyEr</v>
      </c>
    </row>
    <row r="23" spans="1:2" x14ac:dyDescent="0.35">
      <c r="A23" t="s">
        <v>158</v>
      </c>
      <c r="B23" t="str">
        <f t="shared" ca="1" si="0"/>
        <v>OS_StruExcess</v>
      </c>
    </row>
    <row r="24" spans="1:2" x14ac:dyDescent="0.35">
      <c r="A24" t="s">
        <v>159</v>
      </c>
      <c r="B24" t="str">
        <f t="shared" ca="1" si="0"/>
        <v>OS_StruInUse</v>
      </c>
    </row>
    <row r="25" spans="1:2" x14ac:dyDescent="0.35">
      <c r="A25" t="s">
        <v>160</v>
      </c>
      <c r="B25" t="str">
        <f t="shared" ca="1" si="0"/>
        <v>OS_FxFldTyMis</v>
      </c>
    </row>
    <row r="26" spans="1:2" x14ac:dyDescent="0.35">
      <c r="A26" t="s">
        <v>161</v>
      </c>
      <c r="B26" t="str">
        <f t="shared" ca="1" si="0"/>
        <v>OS_FldMis</v>
      </c>
    </row>
    <row r="27" spans="1:2" x14ac:dyDescent="0.35">
      <c r="A27" t="s">
        <v>162</v>
      </c>
      <c r="B27" t="str">
        <f t="shared" ca="1" si="0"/>
        <v>OS_1</v>
      </c>
    </row>
    <row r="28" spans="1:2" x14ac:dyDescent="0.35">
      <c r="A28" t="s">
        <v>163</v>
      </c>
      <c r="B28" t="str">
        <f t="shared" ca="1" si="0"/>
        <v>OS_2</v>
      </c>
    </row>
    <row r="29" spans="1:2" x14ac:dyDescent="0.35">
      <c r="A29" t="s">
        <v>164</v>
      </c>
      <c r="B29" t="str">
        <f t="shared" ca="1" si="0"/>
        <v>OS_All</v>
      </c>
    </row>
    <row r="30" spans="1:2" x14ac:dyDescent="0.35">
      <c r="A30" t="s">
        <v>165</v>
      </c>
      <c r="B30" t="str">
        <f t="shared" ca="1" si="0"/>
        <v>OX_StruNDef</v>
      </c>
    </row>
    <row r="31" spans="1:2" x14ac:dyDescent="0.35">
      <c r="A31" t="s">
        <v>166</v>
      </c>
      <c r="B31" t="str">
        <f t="shared" ca="1" si="0"/>
        <v>OX_FxtDup</v>
      </c>
    </row>
    <row r="32" spans="1:2" x14ac:dyDescent="0.35">
      <c r="A32" t="s">
        <v>167</v>
      </c>
      <c r="B32" t="str">
        <f t="shared" ca="1" si="0"/>
        <v>OX_FxtNDef</v>
      </c>
    </row>
    <row r="33" spans="1:2" x14ac:dyDescent="0.35">
      <c r="A33" t="s">
        <v>168</v>
      </c>
      <c r="B33" t="str">
        <f t="shared" ca="1" si="0"/>
        <v>OX_All</v>
      </c>
    </row>
    <row r="34" spans="1:2" x14ac:dyDescent="0.35">
      <c r="A34" t="s">
        <v>169</v>
      </c>
      <c r="B34" t="str">
        <f t="shared" ca="1" si="0"/>
        <v>OB_StruNDef</v>
      </c>
    </row>
    <row r="35" spans="1:2" x14ac:dyDescent="0.35">
      <c r="A35" t="s">
        <v>170</v>
      </c>
      <c r="B35" t="str">
        <f t="shared" ca="1" si="0"/>
        <v>OB_FbnNDef</v>
      </c>
    </row>
    <row r="36" spans="1:2" x14ac:dyDescent="0.35">
      <c r="A36" t="s">
        <v>171</v>
      </c>
      <c r="B36" t="str">
        <f t="shared" ca="1" si="0"/>
        <v>OB_FbtMis</v>
      </c>
    </row>
    <row r="37" spans="1:2" x14ac:dyDescent="0.35">
      <c r="A37" t="s">
        <v>172</v>
      </c>
      <c r="B37" t="str">
        <f t="shared" ca="1" si="0"/>
        <v>OB_All</v>
      </c>
    </row>
    <row r="38" spans="1:2" x14ac:dyDescent="0.35">
      <c r="A38" t="s">
        <v>173</v>
      </c>
      <c r="B38" t="str">
        <f t="shared" ca="1" si="0"/>
        <v>OW_TblDup</v>
      </c>
    </row>
    <row r="39" spans="1:2" x14ac:dyDescent="0.35">
      <c r="A39" t="s">
        <v>174</v>
      </c>
      <c r="B39" t="str">
        <f t="shared" ca="1" si="0"/>
        <v>OW_TblNDef</v>
      </c>
    </row>
    <row r="40" spans="1:2" x14ac:dyDescent="0.35">
      <c r="A40" t="s">
        <v>175</v>
      </c>
      <c r="B40" t="str">
        <f t="shared" ca="1" si="0"/>
        <v>OW_TblExcess</v>
      </c>
    </row>
    <row r="41" spans="1:2" x14ac:dyDescent="0.35">
      <c r="A41" t="s">
        <v>176</v>
      </c>
      <c r="B41" t="str">
        <f t="shared" ca="1" si="0"/>
        <v>OW_All</v>
      </c>
    </row>
    <row r="42" spans="1:2" x14ac:dyDescent="0.35">
      <c r="A42" t="s">
        <v>177</v>
      </c>
      <c r="B42" t="str">
        <f t="shared" ca="1" si="0"/>
        <v>OEr</v>
      </c>
    </row>
    <row r="43" spans="1:2" x14ac:dyDescent="0.35">
      <c r="A43" t="s">
        <v>178</v>
      </c>
      <c r="B43" t="str">
        <f t="shared" ca="1" si="0"/>
        <v>OThwIfEr</v>
      </c>
    </row>
    <row r="44" spans="1:2" x14ac:dyDescent="0.35">
      <c r="A44" t="s">
        <v>179</v>
      </c>
      <c r="B44" t="str">
        <f t="shared" ca="1" si="0"/>
        <v>RsltCn</v>
      </c>
    </row>
    <row r="45" spans="1:2" x14ac:dyDescent="0.35">
      <c r="A45" t="s">
        <v>180</v>
      </c>
      <c r="B45" t="str">
        <f t="shared" ca="1" si="0"/>
        <v>RsltSql</v>
      </c>
    </row>
    <row r="46" spans="1:2" x14ac:dyDescent="0.35">
      <c r="A46" t="s">
        <v>181</v>
      </c>
      <c r="B46" t="str">
        <f t="shared" ca="1" si="0"/>
        <v>LnkImp</v>
      </c>
    </row>
    <row r="47" spans="1:2" x14ac:dyDescent="0.35">
      <c r="A47" t="s">
        <v>182</v>
      </c>
      <c r="B47">
        <f t="shared" ca="1" si="0"/>
        <v>46</v>
      </c>
    </row>
    <row r="48" spans="1:2" x14ac:dyDescent="0.35">
      <c r="A48" t="s">
        <v>183</v>
      </c>
      <c r="B48">
        <f t="shared" ca="1" si="0"/>
        <v>0</v>
      </c>
    </row>
    <row r="49" spans="1:2" x14ac:dyDescent="0.35">
      <c r="A49" t="s">
        <v>184</v>
      </c>
      <c r="B49">
        <f t="shared" ca="1" si="0"/>
        <v>0</v>
      </c>
    </row>
    <row r="50" spans="1:2" x14ac:dyDescent="0.35">
      <c r="A50" t="s">
        <v>185</v>
      </c>
      <c r="B50" t="str">
        <f t="shared" ca="1" si="0"/>
        <v>Key</v>
      </c>
    </row>
    <row r="51" spans="1:2" x14ac:dyDescent="0.35">
      <c r="A51" t="s">
        <v>186</v>
      </c>
      <c r="B51" t="str">
        <f t="shared" ca="1" si="0"/>
        <v>Key</v>
      </c>
    </row>
    <row r="52" spans="1:2" x14ac:dyDescent="0.35">
      <c r="A52" t="s">
        <v>187</v>
      </c>
      <c r="B52" t="str">
        <f t="shared" ca="1" si="0"/>
        <v>OThwIfEr</v>
      </c>
    </row>
    <row r="53" spans="1:2" x14ac:dyDescent="0.35">
      <c r="A53" t="s">
        <v>188</v>
      </c>
      <c r="B53">
        <f t="shared" ca="1" si="0"/>
        <v>0</v>
      </c>
    </row>
    <row r="54" spans="1:2" x14ac:dyDescent="0.35">
      <c r="A54" t="s">
        <v>189</v>
      </c>
      <c r="B54">
        <f t="shared" ca="1" si="0"/>
        <v>0</v>
      </c>
    </row>
    <row r="55" spans="1:2" x14ac:dyDescent="0.35">
      <c r="A55" t="s">
        <v>190</v>
      </c>
      <c r="B55">
        <f t="shared" ca="1" si="0"/>
        <v>0</v>
      </c>
    </row>
    <row r="56" spans="1:2" x14ac:dyDescent="0.35">
      <c r="A56" t="s">
        <v>191</v>
      </c>
      <c r="B56">
        <f t="shared" ca="1" si="0"/>
        <v>0</v>
      </c>
    </row>
    <row r="57" spans="1:2" x14ac:dyDescent="0.35">
      <c r="A57" t="s">
        <v>192</v>
      </c>
      <c r="B57">
        <f t="shared" ca="1" si="0"/>
        <v>0</v>
      </c>
    </row>
    <row r="58" spans="1:2" x14ac:dyDescent="0.35">
      <c r="A58" t="s">
        <v>193</v>
      </c>
      <c r="B58">
        <f t="shared" ca="1" si="0"/>
        <v>0</v>
      </c>
    </row>
    <row r="59" spans="1:2" x14ac:dyDescent="0.35">
      <c r="A59" t="s">
        <v>194</v>
      </c>
      <c r="B59">
        <f t="shared" ca="1" si="0"/>
        <v>0</v>
      </c>
    </row>
    <row r="60" spans="1:2" x14ac:dyDescent="0.35">
      <c r="A60" t="s">
        <v>195</v>
      </c>
      <c r="B60">
        <f t="shared" ca="1" si="0"/>
        <v>0</v>
      </c>
    </row>
    <row r="61" spans="1:2" x14ac:dyDescent="0.35">
      <c r="A61" t="s">
        <v>196</v>
      </c>
      <c r="B61">
        <f t="shared" ca="1" si="0"/>
        <v>0</v>
      </c>
    </row>
    <row r="62" spans="1:2" x14ac:dyDescent="0.35">
      <c r="A62" t="s">
        <v>197</v>
      </c>
      <c r="B62">
        <f t="shared" ca="1" si="0"/>
        <v>0</v>
      </c>
    </row>
    <row r="63" spans="1:2" x14ac:dyDescent="0.35">
      <c r="A63" t="s">
        <v>198</v>
      </c>
      <c r="B63">
        <f t="shared" ca="1" si="0"/>
        <v>0</v>
      </c>
    </row>
    <row r="64" spans="1:2" x14ac:dyDescent="0.35">
      <c r="A64" t="s">
        <v>199</v>
      </c>
      <c r="B64">
        <f t="shared" ca="1" si="0"/>
        <v>0</v>
      </c>
    </row>
    <row r="65" spans="1:2" x14ac:dyDescent="0.35">
      <c r="A65" t="s">
        <v>200</v>
      </c>
      <c r="B65">
        <f t="shared" ca="1" si="0"/>
        <v>0</v>
      </c>
    </row>
    <row r="66" spans="1:2" x14ac:dyDescent="0.35">
      <c r="A66" t="s">
        <v>201</v>
      </c>
      <c r="B66">
        <f t="shared" ca="1" si="0"/>
        <v>0</v>
      </c>
    </row>
    <row r="67" spans="1:2" x14ac:dyDescent="0.35">
      <c r="A67" t="s">
        <v>202</v>
      </c>
      <c r="B67">
        <f t="shared" ref="B67:B130" ca="1" si="1">INDIRECT(A67)</f>
        <v>0</v>
      </c>
    </row>
    <row r="68" spans="1:2" x14ac:dyDescent="0.35">
      <c r="A68" t="s">
        <v>203</v>
      </c>
      <c r="B68">
        <f t="shared" ca="1" si="1"/>
        <v>0</v>
      </c>
    </row>
    <row r="69" spans="1:2" x14ac:dyDescent="0.35">
      <c r="A69" t="s">
        <v>204</v>
      </c>
      <c r="B69">
        <f t="shared" ca="1" si="1"/>
        <v>0</v>
      </c>
    </row>
    <row r="70" spans="1:2" x14ac:dyDescent="0.35">
      <c r="A70" t="s">
        <v>205</v>
      </c>
      <c r="B70">
        <f t="shared" ca="1" si="1"/>
        <v>0</v>
      </c>
    </row>
    <row r="71" spans="1:2" x14ac:dyDescent="0.35">
      <c r="A71" t="s">
        <v>206</v>
      </c>
      <c r="B71">
        <f t="shared" ca="1" si="1"/>
        <v>0</v>
      </c>
    </row>
    <row r="72" spans="1:2" x14ac:dyDescent="0.35">
      <c r="A72" t="s">
        <v>207</v>
      </c>
      <c r="B72">
        <f t="shared" ca="1" si="1"/>
        <v>0</v>
      </c>
    </row>
    <row r="73" spans="1:2" x14ac:dyDescent="0.35">
      <c r="A73" t="s">
        <v>208</v>
      </c>
      <c r="B73">
        <f t="shared" ca="1" si="1"/>
        <v>0</v>
      </c>
    </row>
    <row r="74" spans="1:2" x14ac:dyDescent="0.35">
      <c r="A74" t="s">
        <v>209</v>
      </c>
      <c r="B74">
        <f t="shared" ca="1" si="1"/>
        <v>0</v>
      </c>
    </row>
    <row r="75" spans="1:2" x14ac:dyDescent="0.35">
      <c r="A75" t="s">
        <v>210</v>
      </c>
      <c r="B75">
        <f t="shared" ca="1" si="1"/>
        <v>0</v>
      </c>
    </row>
    <row r="76" spans="1:2" x14ac:dyDescent="0.35">
      <c r="A76" t="s">
        <v>211</v>
      </c>
      <c r="B76">
        <f t="shared" ca="1" si="1"/>
        <v>0</v>
      </c>
    </row>
    <row r="77" spans="1:2" x14ac:dyDescent="0.35">
      <c r="A77" t="s">
        <v>212</v>
      </c>
      <c r="B77">
        <f t="shared" ca="1" si="1"/>
        <v>0</v>
      </c>
    </row>
    <row r="78" spans="1:2" x14ac:dyDescent="0.35">
      <c r="A78" t="s">
        <v>213</v>
      </c>
      <c r="B78">
        <f t="shared" ca="1" si="1"/>
        <v>0</v>
      </c>
    </row>
    <row r="79" spans="1:2" x14ac:dyDescent="0.35">
      <c r="A79" t="s">
        <v>214</v>
      </c>
      <c r="B79">
        <f t="shared" ca="1" si="1"/>
        <v>0</v>
      </c>
    </row>
    <row r="80" spans="1:2" x14ac:dyDescent="0.35">
      <c r="A80" t="s">
        <v>215</v>
      </c>
      <c r="B80">
        <f t="shared" ca="1" si="1"/>
        <v>0</v>
      </c>
    </row>
    <row r="81" spans="1:2" x14ac:dyDescent="0.35">
      <c r="A81" t="s">
        <v>216</v>
      </c>
      <c r="B81">
        <f t="shared" ca="1" si="1"/>
        <v>0</v>
      </c>
    </row>
    <row r="82" spans="1:2" x14ac:dyDescent="0.35">
      <c r="A82" t="s">
        <v>217</v>
      </c>
      <c r="B82">
        <f t="shared" ca="1" si="1"/>
        <v>0</v>
      </c>
    </row>
    <row r="83" spans="1:2" x14ac:dyDescent="0.35">
      <c r="A83" t="s">
        <v>218</v>
      </c>
      <c r="B83">
        <f t="shared" ca="1" si="1"/>
        <v>0</v>
      </c>
    </row>
    <row r="84" spans="1:2" x14ac:dyDescent="0.35">
      <c r="A84" t="s">
        <v>219</v>
      </c>
      <c r="B84">
        <f t="shared" ca="1" si="1"/>
        <v>0</v>
      </c>
    </row>
    <row r="85" spans="1:2" x14ac:dyDescent="0.35">
      <c r="A85" t="s">
        <v>220</v>
      </c>
      <c r="B85">
        <f t="shared" ca="1" si="1"/>
        <v>0</v>
      </c>
    </row>
    <row r="86" spans="1:2" x14ac:dyDescent="0.35">
      <c r="A86" t="s">
        <v>221</v>
      </c>
      <c r="B86">
        <f t="shared" ca="1" si="1"/>
        <v>0</v>
      </c>
    </row>
    <row r="87" spans="1:2" x14ac:dyDescent="0.35">
      <c r="A87" t="s">
        <v>222</v>
      </c>
      <c r="B87">
        <f t="shared" ca="1" si="1"/>
        <v>0</v>
      </c>
    </row>
    <row r="88" spans="1:2" x14ac:dyDescent="0.35">
      <c r="A88" t="s">
        <v>223</v>
      </c>
      <c r="B88">
        <f t="shared" ca="1" si="1"/>
        <v>0</v>
      </c>
    </row>
    <row r="89" spans="1:2" x14ac:dyDescent="0.35">
      <c r="A89" t="s">
        <v>224</v>
      </c>
      <c r="B89">
        <f t="shared" ca="1" si="1"/>
        <v>0</v>
      </c>
    </row>
    <row r="90" spans="1:2" x14ac:dyDescent="0.35">
      <c r="A90" t="s">
        <v>225</v>
      </c>
      <c r="B90">
        <f t="shared" ca="1" si="1"/>
        <v>0</v>
      </c>
    </row>
    <row r="91" spans="1:2" x14ac:dyDescent="0.35">
      <c r="A91" t="s">
        <v>226</v>
      </c>
      <c r="B91">
        <f t="shared" ca="1" si="1"/>
        <v>0</v>
      </c>
    </row>
    <row r="92" spans="1:2" x14ac:dyDescent="0.35">
      <c r="A92" t="s">
        <v>227</v>
      </c>
      <c r="B92">
        <f t="shared" ca="1" si="1"/>
        <v>0</v>
      </c>
    </row>
    <row r="93" spans="1:2" x14ac:dyDescent="0.35">
      <c r="A93" t="s">
        <v>228</v>
      </c>
      <c r="B93">
        <f t="shared" ca="1" si="1"/>
        <v>0</v>
      </c>
    </row>
    <row r="94" spans="1:2" x14ac:dyDescent="0.35">
      <c r="A94" t="s">
        <v>229</v>
      </c>
      <c r="B94">
        <f t="shared" ca="1" si="1"/>
        <v>0</v>
      </c>
    </row>
    <row r="95" spans="1:2" x14ac:dyDescent="0.35">
      <c r="A95" t="s">
        <v>230</v>
      </c>
      <c r="B95">
        <f t="shared" ca="1" si="1"/>
        <v>0</v>
      </c>
    </row>
    <row r="96" spans="1:2" x14ac:dyDescent="0.35">
      <c r="A96" t="s">
        <v>231</v>
      </c>
      <c r="B96">
        <f t="shared" ca="1" si="1"/>
        <v>0</v>
      </c>
    </row>
    <row r="97" spans="1:2" x14ac:dyDescent="0.35">
      <c r="A97" t="s">
        <v>232</v>
      </c>
      <c r="B97">
        <f t="shared" ca="1" si="1"/>
        <v>0</v>
      </c>
    </row>
    <row r="98" spans="1:2" x14ac:dyDescent="0.35">
      <c r="A98" t="s">
        <v>233</v>
      </c>
      <c r="B98">
        <f t="shared" ca="1" si="1"/>
        <v>0</v>
      </c>
    </row>
    <row r="99" spans="1:2" x14ac:dyDescent="0.35">
      <c r="A99" t="s">
        <v>234</v>
      </c>
      <c r="B99">
        <f t="shared" ca="1" si="1"/>
        <v>0</v>
      </c>
    </row>
    <row r="100" spans="1:2" x14ac:dyDescent="0.35">
      <c r="A100" t="s">
        <v>235</v>
      </c>
      <c r="B100">
        <f t="shared" ca="1" si="1"/>
        <v>0</v>
      </c>
    </row>
    <row r="101" spans="1:2" x14ac:dyDescent="0.35">
      <c r="A101" t="s">
        <v>236</v>
      </c>
      <c r="B101">
        <f t="shared" ca="1" si="1"/>
        <v>0</v>
      </c>
    </row>
    <row r="102" spans="1:2" x14ac:dyDescent="0.35">
      <c r="A102" t="s">
        <v>237</v>
      </c>
      <c r="B102">
        <f t="shared" ca="1" si="1"/>
        <v>0</v>
      </c>
    </row>
    <row r="103" spans="1:2" x14ac:dyDescent="0.35">
      <c r="A103" t="s">
        <v>238</v>
      </c>
      <c r="B103">
        <f t="shared" ca="1" si="1"/>
        <v>0</v>
      </c>
    </row>
    <row r="104" spans="1:2" x14ac:dyDescent="0.35">
      <c r="A104" t="s">
        <v>239</v>
      </c>
      <c r="B104">
        <f t="shared" ca="1" si="1"/>
        <v>0</v>
      </c>
    </row>
    <row r="105" spans="1:2" x14ac:dyDescent="0.35">
      <c r="A105" t="s">
        <v>240</v>
      </c>
      <c r="B105">
        <f t="shared" ca="1" si="1"/>
        <v>0</v>
      </c>
    </row>
    <row r="106" spans="1:2" x14ac:dyDescent="0.35">
      <c r="A106" t="s">
        <v>241</v>
      </c>
      <c r="B106">
        <f t="shared" ca="1" si="1"/>
        <v>0</v>
      </c>
    </row>
    <row r="107" spans="1:2" x14ac:dyDescent="0.35">
      <c r="A107" t="s">
        <v>242</v>
      </c>
      <c r="B107">
        <f t="shared" ca="1" si="1"/>
        <v>0</v>
      </c>
    </row>
    <row r="108" spans="1:2" x14ac:dyDescent="0.35">
      <c r="A108" t="s">
        <v>243</v>
      </c>
      <c r="B108">
        <f t="shared" ca="1" si="1"/>
        <v>0</v>
      </c>
    </row>
    <row r="109" spans="1:2" x14ac:dyDescent="0.35">
      <c r="A109" t="s">
        <v>244</v>
      </c>
      <c r="B109">
        <f t="shared" ca="1" si="1"/>
        <v>0</v>
      </c>
    </row>
    <row r="110" spans="1:2" x14ac:dyDescent="0.35">
      <c r="A110" t="s">
        <v>245</v>
      </c>
      <c r="B110">
        <f t="shared" ca="1" si="1"/>
        <v>0</v>
      </c>
    </row>
    <row r="111" spans="1:2" x14ac:dyDescent="0.35">
      <c r="A111" t="s">
        <v>246</v>
      </c>
      <c r="B111">
        <f t="shared" ca="1" si="1"/>
        <v>0</v>
      </c>
    </row>
    <row r="112" spans="1:2" x14ac:dyDescent="0.35">
      <c r="A112" t="s">
        <v>247</v>
      </c>
      <c r="B112">
        <f t="shared" ca="1" si="1"/>
        <v>0</v>
      </c>
    </row>
    <row r="113" spans="1:2" x14ac:dyDescent="0.35">
      <c r="A113" t="s">
        <v>248</v>
      </c>
      <c r="B113">
        <f t="shared" ca="1" si="1"/>
        <v>0</v>
      </c>
    </row>
    <row r="114" spans="1:2" x14ac:dyDescent="0.35">
      <c r="A114" t="s">
        <v>249</v>
      </c>
      <c r="B114">
        <f t="shared" ca="1" si="1"/>
        <v>0</v>
      </c>
    </row>
    <row r="115" spans="1:2" x14ac:dyDescent="0.35">
      <c r="A115" t="s">
        <v>250</v>
      </c>
      <c r="B115">
        <f t="shared" ca="1" si="1"/>
        <v>0</v>
      </c>
    </row>
    <row r="116" spans="1:2" x14ac:dyDescent="0.35">
      <c r="A116" t="s">
        <v>251</v>
      </c>
      <c r="B116">
        <f t="shared" ca="1" si="1"/>
        <v>0</v>
      </c>
    </row>
    <row r="117" spans="1:2" x14ac:dyDescent="0.35">
      <c r="A117" t="s">
        <v>252</v>
      </c>
      <c r="B117">
        <f t="shared" ca="1" si="1"/>
        <v>0</v>
      </c>
    </row>
    <row r="118" spans="1:2" x14ac:dyDescent="0.35">
      <c r="A118" t="s">
        <v>253</v>
      </c>
      <c r="B118">
        <f t="shared" ca="1" si="1"/>
        <v>0</v>
      </c>
    </row>
    <row r="119" spans="1:2" x14ac:dyDescent="0.35">
      <c r="A119" t="s">
        <v>254</v>
      </c>
      <c r="B119">
        <f t="shared" ca="1" si="1"/>
        <v>0</v>
      </c>
    </row>
    <row r="120" spans="1:2" x14ac:dyDescent="0.35">
      <c r="A120" t="s">
        <v>255</v>
      </c>
      <c r="B120">
        <f t="shared" ca="1" si="1"/>
        <v>0</v>
      </c>
    </row>
    <row r="121" spans="1:2" x14ac:dyDescent="0.35">
      <c r="A121" t="s">
        <v>256</v>
      </c>
      <c r="B121">
        <f t="shared" ca="1" si="1"/>
        <v>0</v>
      </c>
    </row>
    <row r="122" spans="1:2" x14ac:dyDescent="0.35">
      <c r="A122" t="s">
        <v>257</v>
      </c>
      <c r="B122">
        <f t="shared" ca="1" si="1"/>
        <v>0</v>
      </c>
    </row>
    <row r="123" spans="1:2" x14ac:dyDescent="0.35">
      <c r="A123" t="s">
        <v>258</v>
      </c>
      <c r="B123">
        <f t="shared" ca="1" si="1"/>
        <v>0</v>
      </c>
    </row>
    <row r="124" spans="1:2" x14ac:dyDescent="0.35">
      <c r="A124" t="s">
        <v>259</v>
      </c>
      <c r="B124">
        <f t="shared" ca="1" si="1"/>
        <v>0</v>
      </c>
    </row>
    <row r="125" spans="1:2" x14ac:dyDescent="0.35">
      <c r="A125" t="s">
        <v>260</v>
      </c>
      <c r="B125">
        <f t="shared" ca="1" si="1"/>
        <v>0</v>
      </c>
    </row>
    <row r="126" spans="1:2" x14ac:dyDescent="0.35">
      <c r="A126" t="s">
        <v>261</v>
      </c>
      <c r="B126">
        <f t="shared" ca="1" si="1"/>
        <v>0</v>
      </c>
    </row>
    <row r="127" spans="1:2" x14ac:dyDescent="0.35">
      <c r="A127" t="s">
        <v>262</v>
      </c>
      <c r="B127">
        <f t="shared" ca="1" si="1"/>
        <v>0</v>
      </c>
    </row>
    <row r="128" spans="1:2" x14ac:dyDescent="0.35">
      <c r="A128" t="s">
        <v>263</v>
      </c>
      <c r="B128">
        <f t="shared" ca="1" si="1"/>
        <v>0</v>
      </c>
    </row>
    <row r="129" spans="1:2" x14ac:dyDescent="0.35">
      <c r="A129" t="s">
        <v>264</v>
      </c>
      <c r="B129">
        <f t="shared" ca="1" si="1"/>
        <v>0</v>
      </c>
    </row>
    <row r="130" spans="1:2" x14ac:dyDescent="0.35">
      <c r="A130" t="s">
        <v>265</v>
      </c>
      <c r="B130">
        <f t="shared" ca="1" si="1"/>
        <v>0</v>
      </c>
    </row>
    <row r="131" spans="1:2" x14ac:dyDescent="0.35">
      <c r="A131" t="s">
        <v>266</v>
      </c>
      <c r="B131">
        <f t="shared" ref="B131:B134" ca="1" si="2">INDIRECT(A131)</f>
        <v>0</v>
      </c>
    </row>
    <row r="132" spans="1:2" x14ac:dyDescent="0.35">
      <c r="A132" t="s">
        <v>267</v>
      </c>
      <c r="B132">
        <f t="shared" ca="1" si="2"/>
        <v>0</v>
      </c>
    </row>
    <row r="133" spans="1:2" x14ac:dyDescent="0.35">
      <c r="A133" t="s">
        <v>268</v>
      </c>
      <c r="B133">
        <f t="shared" ca="1" si="2"/>
        <v>0</v>
      </c>
    </row>
    <row r="134" spans="1:2" x14ac:dyDescent="0.35">
      <c r="A134" t="s">
        <v>269</v>
      </c>
      <c r="B134">
        <f t="shared" ca="1" si="2"/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C239F-5391-4E25-BA9D-F345E815F762}">
  <sheetPr codeName="WsRmk">
    <outlinePr summaryRight="0"/>
  </sheetPr>
  <dimension ref="A1:G44"/>
  <sheetViews>
    <sheetView workbookViewId="0">
      <selection activeCell="C3" sqref="C3"/>
    </sheetView>
  </sheetViews>
  <sheetFormatPr defaultRowHeight="14.5" outlineLevelCol="1" x14ac:dyDescent="0.35"/>
  <cols>
    <col min="1" max="1" width="15.6328125" bestFit="1" customWidth="1"/>
    <col min="2" max="2" width="22.453125" customWidth="1"/>
    <col min="3" max="3" width="97.08984375" customWidth="1"/>
    <col min="4" max="4" width="17.54296875" style="1" bestFit="1" customWidth="1"/>
    <col min="5" max="5" width="8.90625" style="2" bestFit="1" customWidth="1"/>
    <col min="6" max="6" width="8.7265625" customWidth="1" outlineLevel="1"/>
    <col min="7" max="7" width="9.7265625" customWidth="1" outlineLevel="1"/>
  </cols>
  <sheetData>
    <row r="1" spans="1:7" x14ac:dyDescent="0.35">
      <c r="C1" s="31"/>
      <c r="E1"/>
    </row>
    <row r="2" spans="1:7" x14ac:dyDescent="0.35">
      <c r="A2" s="15" t="s">
        <v>98</v>
      </c>
      <c r="B2" s="15" t="s">
        <v>41</v>
      </c>
      <c r="C2" s="29" t="s">
        <v>14</v>
      </c>
      <c r="D2" s="33" t="s">
        <v>119</v>
      </c>
      <c r="E2" s="15" t="s">
        <v>120</v>
      </c>
      <c r="F2" s="15" t="s">
        <v>121</v>
      </c>
      <c r="G2" s="15" t="s">
        <v>118</v>
      </c>
    </row>
    <row r="3" spans="1:7" x14ac:dyDescent="0.35">
      <c r="A3" s="11" t="str">
        <f ca="1">Key!B2</f>
        <v>LnkImpSrc</v>
      </c>
      <c r="B3" s="11">
        <f ca="1">VLOOKUP(T_Rmk[[#This Row],[Key]],T_Src[],13,FALSE)</f>
        <v>0</v>
      </c>
      <c r="C3" s="30" t="str">
        <f ca="1">"'"&amp;T_Rmk[RmkNm]&amp;" "&amp;T_Rmk[Fss]</f>
        <v>'LnkImpSrc      0</v>
      </c>
      <c r="D3" s="34" t="str">
        <f ca="1">T_Rmk[Key]&amp;T_Rmk[[#This Row],[NmSpc]]</f>
        <v xml:space="preserve">LnkImpSrc     </v>
      </c>
      <c r="E3" s="11">
        <f ca="1">LEN(T_Rmk[Key])</f>
        <v>9</v>
      </c>
      <c r="F3" s="11">
        <f ca="1">T_Rmk[[#Totals],[NmLen]]-T_Rmk[[#This Row],[NmLen]]</f>
        <v>5</v>
      </c>
      <c r="G3" s="11" t="str">
        <f ca="1">REPT(" ",T_Rmk[[#This Row],[NmFiller]])</f>
        <v xml:space="preserve">     </v>
      </c>
    </row>
    <row r="4" spans="1:7" x14ac:dyDescent="0.35">
      <c r="A4" s="11" t="str">
        <f ca="1">Key!B3</f>
        <v>IInpFil</v>
      </c>
      <c r="B4" s="11" t="str">
        <f ca="1">VLOOKUP(T_Rmk[[#This Row],[Key]],T_Src[],13,FALSE)</f>
        <v>InpFilSrc</v>
      </c>
      <c r="C4" s="30" t="str">
        <f ca="1">"'"&amp;T_Rmk[RmkNm]&amp;" "&amp;T_Rmk[Fss]</f>
        <v>'IInpFil        InpFilSrc</v>
      </c>
      <c r="D4" s="34" t="str">
        <f ca="1">T_Rmk[Key]&amp;T_Rmk[[#This Row],[NmSpc]]</f>
        <v xml:space="preserve">IInpFil       </v>
      </c>
      <c r="E4" s="11">
        <f ca="1">LEN(T_Rmk[Key])</f>
        <v>7</v>
      </c>
      <c r="F4" s="11">
        <f ca="1">T_Rmk[[#Totals],[NmLen]]-T_Rmk[[#This Row],[NmLen]]</f>
        <v>7</v>
      </c>
      <c r="G4" s="11" t="str">
        <f ca="1">REPT(" ",T_Rmk[[#This Row],[NmFiller]])</f>
        <v xml:space="preserve">       </v>
      </c>
    </row>
    <row r="5" spans="1:7" x14ac:dyDescent="0.35">
      <c r="A5" s="11" t="str">
        <f ca="1">Key!B4</f>
        <v>ILnkImp</v>
      </c>
      <c r="B5" s="11" t="str">
        <f ca="1">VLOOKUP(T_Rmk[[#This Row],[Key]],T_Src[],13,FALSE)</f>
        <v>LnkImpSrc</v>
      </c>
      <c r="C5" s="30" t="str">
        <f ca="1">"'"&amp;T_Rmk[RmkNm]&amp;" "&amp;T_Rmk[Fss]</f>
        <v>'ILnkImp        LnkImpSrc</v>
      </c>
      <c r="D5" s="34" t="str">
        <f ca="1">T_Rmk[Key]&amp;T_Rmk[[#This Row],[NmSpc]]</f>
        <v xml:space="preserve">ILnkImp       </v>
      </c>
      <c r="E5" s="11">
        <f ca="1">LEN(T_Rmk[Key])</f>
        <v>7</v>
      </c>
      <c r="F5" s="11">
        <f ca="1">T_Rmk[[#Totals],[NmLen]]-T_Rmk[[#This Row],[NmLen]]</f>
        <v>7</v>
      </c>
      <c r="G5" s="11" t="str">
        <f ca="1">REPT(" ",T_Rmk[[#This Row],[NmFiller]])</f>
        <v xml:space="preserve">       </v>
      </c>
    </row>
    <row r="6" spans="1:7" x14ac:dyDescent="0.35">
      <c r="A6" s="11" t="str">
        <f ca="1">Key!B5</f>
        <v>JStru</v>
      </c>
      <c r="B6" s="11" t="str">
        <f ca="1">VLOOKUP(T_Rmk[[#This Row],[Key]],T_Src[],13,FALSE)</f>
        <v>ILnkImp</v>
      </c>
      <c r="C6" s="30" t="str">
        <f ca="1">"'"&amp;T_Rmk[RmkNm]&amp;" "&amp;T_Rmk[Fss]</f>
        <v>'JStru          ILnkImp</v>
      </c>
      <c r="D6" s="34" t="str">
        <f ca="1">T_Rmk[Key]&amp;T_Rmk[[#This Row],[NmSpc]]</f>
        <v xml:space="preserve">JStru         </v>
      </c>
      <c r="E6" s="11">
        <f ca="1">LEN(T_Rmk[Key])</f>
        <v>5</v>
      </c>
      <c r="F6" s="11">
        <f ca="1">T_Rmk[[#Totals],[NmLen]]-T_Rmk[[#This Row],[NmLen]]</f>
        <v>9</v>
      </c>
      <c r="G6" s="11" t="str">
        <f ca="1">REPT(" ",T_Rmk[[#This Row],[NmFiller]])</f>
        <v xml:space="preserve">         </v>
      </c>
    </row>
    <row r="7" spans="1:7" x14ac:dyDescent="0.35">
      <c r="A7" s="11" t="str">
        <f ca="1">Key!B6</f>
        <v>JStruF</v>
      </c>
      <c r="B7" s="11" t="str">
        <f ca="1">VLOOKUP(T_Rmk[[#This Row],[Key]],T_Src[],13,FALSE)</f>
        <v>ILnkImp</v>
      </c>
      <c r="C7" s="30" t="str">
        <f ca="1">"'"&amp;T_Rmk[RmkNm]&amp;" "&amp;T_Rmk[Fss]</f>
        <v>'JStruF         ILnkImp</v>
      </c>
      <c r="D7" s="34" t="str">
        <f ca="1">T_Rmk[Key]&amp;T_Rmk[[#This Row],[NmSpc]]</f>
        <v xml:space="preserve">JStruF        </v>
      </c>
      <c r="E7" s="11">
        <f ca="1">LEN(T_Rmk[Key])</f>
        <v>6</v>
      </c>
      <c r="F7" s="11">
        <f ca="1">T_Rmk[[#Totals],[NmLen]]-T_Rmk[[#This Row],[NmLen]]</f>
        <v>8</v>
      </c>
      <c r="G7" s="11" t="str">
        <f ca="1">REPT(" ",T_Rmk[[#This Row],[NmFiller]])</f>
        <v xml:space="preserve">        </v>
      </c>
    </row>
    <row r="8" spans="1:7" x14ac:dyDescent="0.35">
      <c r="A8" s="11" t="str">
        <f ca="1">Key!B7</f>
        <v>JFxTbl</v>
      </c>
      <c r="B8" s="11" t="str">
        <f ca="1">VLOOKUP(T_Rmk[[#This Row],[Key]],T_Src[],13,FALSE)</f>
        <v>ILnkImp</v>
      </c>
      <c r="C8" s="30" t="str">
        <f ca="1">"'"&amp;T_Rmk[RmkNm]&amp;" "&amp;T_Rmk[Fss]</f>
        <v>'JFxTbl         ILnkImp</v>
      </c>
      <c r="D8" s="34" t="str">
        <f ca="1">T_Rmk[Key]&amp;T_Rmk[[#This Row],[NmSpc]]</f>
        <v xml:space="preserve">JFxTbl        </v>
      </c>
      <c r="E8" s="11">
        <f ca="1">LEN(T_Rmk[Key])</f>
        <v>6</v>
      </c>
      <c r="F8" s="11">
        <f ca="1">T_Rmk[[#Totals],[NmLen]]-T_Rmk[[#This Row],[NmLen]]</f>
        <v>8</v>
      </c>
      <c r="G8" s="11" t="str">
        <f ca="1">REPT(" ",T_Rmk[[#This Row],[NmFiller]])</f>
        <v xml:space="preserve">        </v>
      </c>
    </row>
    <row r="9" spans="1:7" x14ac:dyDescent="0.35">
      <c r="A9" s="11" t="str">
        <f ca="1">Key!B8</f>
        <v>JFbTbl</v>
      </c>
      <c r="B9" s="11" t="str">
        <f ca="1">VLOOKUP(T_Rmk[[#This Row],[Key]],T_Src[],13,FALSE)</f>
        <v>ILnkImp</v>
      </c>
      <c r="C9" s="30" t="str">
        <f ca="1">"'"&amp;T_Rmk[RmkNm]&amp;" "&amp;T_Rmk[Fss]</f>
        <v>'JFbTbl         ILnkImp</v>
      </c>
      <c r="D9" s="34" t="str">
        <f ca="1">T_Rmk[Key]&amp;T_Rmk[[#This Row],[NmSpc]]</f>
        <v xml:space="preserve">JFbTbl        </v>
      </c>
      <c r="E9" s="11">
        <f ca="1">LEN(T_Rmk[Key])</f>
        <v>6</v>
      </c>
      <c r="F9" s="11">
        <f ca="1">T_Rmk[[#Totals],[NmLen]]-T_Rmk[[#This Row],[NmLen]]</f>
        <v>8</v>
      </c>
      <c r="G9" s="11" t="str">
        <f ca="1">REPT(" ",T_Rmk[[#This Row],[NmFiller]])</f>
        <v xml:space="preserve">        </v>
      </c>
    </row>
    <row r="10" spans="1:7" x14ac:dyDescent="0.35">
      <c r="A10" s="11" t="str">
        <f ca="1">Key!B9</f>
        <v>JTblWh</v>
      </c>
      <c r="B10" s="11" t="str">
        <f ca="1">VLOOKUP(T_Rmk[[#This Row],[Key]],T_Src[],13,FALSE)</f>
        <v>ILnkImp</v>
      </c>
      <c r="C10" s="30" t="str">
        <f ca="1">"'"&amp;T_Rmk[RmkNm]&amp;" "&amp;T_Rmk[Fss]</f>
        <v>'JTblWh         ILnkImp</v>
      </c>
      <c r="D10" s="34" t="str">
        <f ca="1">T_Rmk[Key]&amp;T_Rmk[[#This Row],[NmSpc]]</f>
        <v xml:space="preserve">JTblWh        </v>
      </c>
      <c r="E10" s="11">
        <f ca="1">LEN(T_Rmk[Key])</f>
        <v>6</v>
      </c>
      <c r="F10" s="11">
        <f ca="1">T_Rmk[[#Totals],[NmLen]]-T_Rmk[[#This Row],[NmLen]]</f>
        <v>8</v>
      </c>
      <c r="G10" s="11" t="str">
        <f ca="1">REPT(" ",T_Rmk[[#This Row],[NmFiller]])</f>
        <v xml:space="preserve">        </v>
      </c>
    </row>
    <row r="11" spans="1:7" x14ac:dyDescent="0.35">
      <c r="A11" s="11" t="str">
        <f ca="1">Key!B10</f>
        <v>TTbl</v>
      </c>
      <c r="B11" s="11" t="str">
        <f ca="1">VLOOKUP(T_Rmk[[#This Row],[Key]],T_Src[],13,FALSE)</f>
        <v>JFxTbl</v>
      </c>
      <c r="C11" s="30" t="str">
        <f ca="1">"'"&amp;T_Rmk[RmkNm]&amp;" "&amp;T_Rmk[Fss]</f>
        <v>'TTbl           JFxTbl</v>
      </c>
      <c r="D11" s="34" t="str">
        <f ca="1">T_Rmk[Key]&amp;T_Rmk[[#This Row],[NmSpc]]</f>
        <v xml:space="preserve">TTbl          </v>
      </c>
      <c r="E11" s="11">
        <f ca="1">LEN(T_Rmk[Key])</f>
        <v>4</v>
      </c>
      <c r="F11" s="11">
        <f ca="1">T_Rmk[[#Totals],[NmLen]]-T_Rmk[[#This Row],[NmLen]]</f>
        <v>10</v>
      </c>
      <c r="G11" s="11" t="str">
        <f ca="1">REPT(" ",T_Rmk[[#This Row],[NmFiller]])</f>
        <v xml:space="preserve">          </v>
      </c>
    </row>
    <row r="12" spans="1:7" x14ac:dyDescent="0.35">
      <c r="A12" s="11" t="str">
        <f ca="1">Key!B11</f>
        <v>TETblFld</v>
      </c>
      <c r="B12" s="11" t="str">
        <f ca="1">VLOOKUP(T_Rmk[[#This Row],[Key]],T_Src[],13,FALSE)</f>
        <v>TTbl</v>
      </c>
      <c r="C12" s="30" t="str">
        <f ca="1">"'"&amp;T_Rmk[RmkNm]&amp;" "&amp;T_Rmk[Fss]</f>
        <v>'TETblFld       TTbl</v>
      </c>
      <c r="D12" s="34" t="str">
        <f ca="1">T_Rmk[Key]&amp;T_Rmk[[#This Row],[NmSpc]]</f>
        <v xml:space="preserve">TETblFld      </v>
      </c>
      <c r="E12" s="11">
        <f ca="1">LEN(T_Rmk[Key])</f>
        <v>8</v>
      </c>
      <c r="F12" s="11">
        <f ca="1">T_Rmk[[#Totals],[NmLen]]-T_Rmk[[#This Row],[NmLen]]</f>
        <v>6</v>
      </c>
      <c r="G12" s="11" t="str">
        <f ca="1">REPT(" ",T_Rmk[[#This Row],[NmFiller]])</f>
        <v xml:space="preserve">      </v>
      </c>
    </row>
    <row r="13" spans="1:7" x14ac:dyDescent="0.35">
      <c r="A13" s="11" t="str">
        <f ca="1">Key!B12</f>
        <v>TATblFld</v>
      </c>
      <c r="B13" s="11" t="str">
        <f ca="1">VLOOKUP(T_Rmk[[#This Row],[Key]],T_Src[],13,FALSE)</f>
        <v>TTbl</v>
      </c>
      <c r="C13" s="30" t="str">
        <f ca="1">"'"&amp;T_Rmk[RmkNm]&amp;" "&amp;T_Rmk[Fss]</f>
        <v>'TATblFld       TTbl</v>
      </c>
      <c r="D13" s="34" t="str">
        <f ca="1">T_Rmk[Key]&amp;T_Rmk[[#This Row],[NmSpc]]</f>
        <v xml:space="preserve">TATblFld      </v>
      </c>
      <c r="E13" s="11">
        <f ca="1">LEN(T_Rmk[Key])</f>
        <v>8</v>
      </c>
      <c r="F13" s="11">
        <f ca="1">T_Rmk[[#Totals],[NmLen]]-T_Rmk[[#This Row],[NmLen]]</f>
        <v>6</v>
      </c>
      <c r="G13" s="11" t="str">
        <f ca="1">REPT(" ",T_Rmk[[#This Row],[NmFiller]])</f>
        <v xml:space="preserve">      </v>
      </c>
    </row>
    <row r="14" spans="1:7" x14ac:dyDescent="0.35">
      <c r="A14" s="11" t="str">
        <f ca="1">Key!B13</f>
        <v>OU_FfnNFnd</v>
      </c>
      <c r="B14" s="11" t="str">
        <f ca="1">VLOOKUP(T_Rmk[[#This Row],[Key]],T_Src[],13,FALSE)</f>
        <v>JFxTbl</v>
      </c>
      <c r="C14" s="30" t="str">
        <f ca="1">"'"&amp;T_Rmk[RmkNm]&amp;" "&amp;T_Rmk[Fss]</f>
        <v>'OU_FfnNFnd     JFxTbl</v>
      </c>
      <c r="D14" s="34" t="str">
        <f ca="1">T_Rmk[Key]&amp;T_Rmk[[#This Row],[NmSpc]]</f>
        <v xml:space="preserve">OU_FfnNFnd    </v>
      </c>
      <c r="E14" s="11">
        <f ca="1">LEN(T_Rmk[Key])</f>
        <v>10</v>
      </c>
      <c r="F14" s="11">
        <f ca="1">T_Rmk[[#Totals],[NmLen]]-T_Rmk[[#This Row],[NmLen]]</f>
        <v>4</v>
      </c>
      <c r="G14" s="11" t="str">
        <f ca="1">REPT(" ",T_Rmk[[#This Row],[NmFiller]])</f>
        <v xml:space="preserve">    </v>
      </c>
    </row>
    <row r="15" spans="1:7" x14ac:dyDescent="0.35">
      <c r="A15" s="11" t="str">
        <f ca="1">Key!B14</f>
        <v>OU_FbtNFnd</v>
      </c>
      <c r="B15" s="11" t="str">
        <f ca="1">VLOOKUP(T_Rmk[[#This Row],[Key]],T_Src[],13,FALSE)</f>
        <v>JFxTbl</v>
      </c>
      <c r="C15" s="30" t="str">
        <f ca="1">"'"&amp;T_Rmk[RmkNm]&amp;" "&amp;T_Rmk[Fss]</f>
        <v>'OU_FbtNFnd     JFxTbl</v>
      </c>
      <c r="D15" s="34" t="str">
        <f ca="1">T_Rmk[Key]&amp;T_Rmk[[#This Row],[NmSpc]]</f>
        <v xml:space="preserve">OU_FbtNFnd    </v>
      </c>
      <c r="E15" s="11">
        <f ca="1">LEN(T_Rmk[Key])</f>
        <v>10</v>
      </c>
      <c r="F15" s="11">
        <f ca="1">T_Rmk[[#Totals],[NmLen]]-T_Rmk[[#This Row],[NmLen]]</f>
        <v>4</v>
      </c>
      <c r="G15" s="11" t="str">
        <f ca="1">REPT(" ",T_Rmk[[#This Row],[NmFiller]])</f>
        <v xml:space="preserve">    </v>
      </c>
    </row>
    <row r="16" spans="1:7" x14ac:dyDescent="0.35">
      <c r="A16" s="11" t="str">
        <f ca="1">Key!B15</f>
        <v>OU_WsnNFnd</v>
      </c>
      <c r="B16" s="11" t="str">
        <f ca="1">VLOOKUP(T_Rmk[[#This Row],[Key]],T_Src[],13,FALSE)</f>
        <v>TTbl</v>
      </c>
      <c r="C16" s="30" t="str">
        <f ca="1">"'"&amp;T_Rmk[RmkNm]&amp;" "&amp;T_Rmk[Fss]</f>
        <v>'OU_WsnNFnd     TTbl</v>
      </c>
      <c r="D16" s="34" t="str">
        <f ca="1">T_Rmk[Key]&amp;T_Rmk[[#This Row],[NmSpc]]</f>
        <v xml:space="preserve">OU_WsnNFnd    </v>
      </c>
      <c r="E16" s="11">
        <f ca="1">LEN(T_Rmk[Key])</f>
        <v>10</v>
      </c>
      <c r="F16" s="11">
        <f ca="1">T_Rmk[[#Totals],[NmLen]]-T_Rmk[[#This Row],[NmLen]]</f>
        <v>4</v>
      </c>
      <c r="G16" s="11" t="str">
        <f ca="1">REPT(" ",T_Rmk[[#This Row],[NmFiller]])</f>
        <v xml:space="preserve">    </v>
      </c>
    </row>
    <row r="17" spans="1:7" x14ac:dyDescent="0.35">
      <c r="A17" s="11" t="str">
        <f ca="1">Key!B16</f>
        <v>OU_FxExtnNFnd</v>
      </c>
      <c r="B17" s="11" t="str">
        <f ca="1">VLOOKUP(T_Rmk[[#This Row],[Key]],T_Src[],13,FALSE)</f>
        <v>TETblFld</v>
      </c>
      <c r="C17" s="30" t="str">
        <f ca="1">"'"&amp;T_Rmk[RmkNm]&amp;" "&amp;T_Rmk[Fss]</f>
        <v>'OU_FxExtnNFnd  TETblFld</v>
      </c>
      <c r="D17" s="34" t="str">
        <f ca="1">T_Rmk[Key]&amp;T_Rmk[[#This Row],[NmSpc]]</f>
        <v xml:space="preserve">OU_FxExtnNFnd </v>
      </c>
      <c r="E17" s="11">
        <f ca="1">LEN(T_Rmk[Key])</f>
        <v>13</v>
      </c>
      <c r="F17" s="11">
        <f ca="1">T_Rmk[[#Totals],[NmLen]]-T_Rmk[[#This Row],[NmLen]]</f>
        <v>1</v>
      </c>
      <c r="G17" s="11" t="str">
        <f ca="1">REPT(" ",T_Rmk[[#This Row],[NmFiller]])</f>
        <v xml:space="preserve"> </v>
      </c>
    </row>
    <row r="18" spans="1:7" x14ac:dyDescent="0.35">
      <c r="A18" s="11" t="str">
        <f ca="1">Key!B17</f>
        <v>OU_FxFldTyNMch</v>
      </c>
      <c r="B18" s="11">
        <f ca="1">VLOOKUP(T_Rmk[[#This Row],[Key]],T_Src[],13,FALSE)</f>
        <v>0</v>
      </c>
      <c r="C18" s="30" t="str">
        <f ca="1">"'"&amp;T_Rmk[RmkNm]&amp;" "&amp;T_Rmk[Fss]</f>
        <v>'OU_FxFldTyNMch 0</v>
      </c>
      <c r="D18" s="34" t="str">
        <f ca="1">T_Rmk[Key]&amp;T_Rmk[[#This Row],[NmSpc]]</f>
        <v>OU_FxFldTyNMch</v>
      </c>
      <c r="E18" s="11">
        <f ca="1">LEN(T_Rmk[Key])</f>
        <v>14</v>
      </c>
      <c r="F18" s="11">
        <f ca="1">T_Rmk[[#Totals],[NmLen]]-T_Rmk[[#This Row],[NmLen]]</f>
        <v>0</v>
      </c>
      <c r="G18" s="11" t="str">
        <f ca="1">REPT(" ",T_Rmk[[#This Row],[NmFiller]])</f>
        <v/>
      </c>
    </row>
    <row r="19" spans="1:7" x14ac:dyDescent="0.35">
      <c r="A19" s="11" t="str">
        <f ca="1">Key!B18</f>
        <v>OU_All</v>
      </c>
      <c r="B19" s="11" t="str">
        <f ca="1">VLOOKUP(T_Rmk[[#This Row],[Key]],T_Src[],13,FALSE)</f>
        <v>OU_FfnNFnd</v>
      </c>
      <c r="C19" s="30" t="str">
        <f ca="1">"'"&amp;T_Rmk[RmkNm]&amp;" "&amp;T_Rmk[Fss]</f>
        <v>'OU_All         OU_FfnNFnd</v>
      </c>
      <c r="D19" s="34" t="str">
        <f ca="1">T_Rmk[Key]&amp;T_Rmk[[#This Row],[NmSpc]]</f>
        <v xml:space="preserve">OU_All        </v>
      </c>
      <c r="E19" s="11">
        <f ca="1">LEN(T_Rmk[Key])</f>
        <v>6</v>
      </c>
      <c r="F19" s="11">
        <f ca="1">T_Rmk[[#Totals],[NmLen]]-T_Rmk[[#This Row],[NmLen]]</f>
        <v>8</v>
      </c>
      <c r="G19" s="11" t="str">
        <f ca="1">REPT(" ",T_Rmk[[#This Row],[NmFiller]])</f>
        <v xml:space="preserve">        </v>
      </c>
    </row>
    <row r="20" spans="1:7" x14ac:dyDescent="0.35">
      <c r="A20" s="11" t="str">
        <f ca="1">Key!B19</f>
        <v>OU_ThwIfEr</v>
      </c>
      <c r="B20" s="11" t="str">
        <f ca="1">VLOOKUP(T_Rmk[[#This Row],[Key]],T_Src[],13,FALSE)</f>
        <v>OU_FbtNFnd</v>
      </c>
      <c r="C20" s="30" t="str">
        <f ca="1">"'"&amp;T_Rmk[RmkNm]&amp;" "&amp;T_Rmk[Fss]</f>
        <v>'OU_ThwIfEr     OU_FbtNFnd</v>
      </c>
      <c r="D20" s="34" t="str">
        <f ca="1">T_Rmk[Key]&amp;T_Rmk[[#This Row],[NmSpc]]</f>
        <v xml:space="preserve">OU_ThwIfEr    </v>
      </c>
      <c r="E20" s="11">
        <f ca="1">LEN(T_Rmk[Key])</f>
        <v>10</v>
      </c>
      <c r="F20" s="11">
        <f ca="1">T_Rmk[[#Totals],[NmLen]]-T_Rmk[[#This Row],[NmLen]]</f>
        <v>4</v>
      </c>
      <c r="G20" s="11" t="str">
        <f ca="1">REPT(" ",T_Rmk[[#This Row],[NmFiller]])</f>
        <v xml:space="preserve">    </v>
      </c>
    </row>
    <row r="21" spans="1:7" x14ac:dyDescent="0.35">
      <c r="A21" s="11" t="str">
        <f ca="1">Key!B20</f>
        <v>OS_FldDup</v>
      </c>
      <c r="B21" s="11">
        <f ca="1">VLOOKUP(T_Rmk[[#This Row],[Key]],T_Src[],13,FALSE)</f>
        <v>0</v>
      </c>
      <c r="C21" s="30" t="str">
        <f ca="1">"'"&amp;T_Rmk[RmkNm]&amp;" "&amp;T_Rmk[Fss]</f>
        <v>'OS_FldDup      0</v>
      </c>
      <c r="D21" s="34" t="str">
        <f ca="1">T_Rmk[Key]&amp;T_Rmk[[#This Row],[NmSpc]]</f>
        <v xml:space="preserve">OS_FldDup     </v>
      </c>
      <c r="E21" s="11">
        <f ca="1">LEN(T_Rmk[Key])</f>
        <v>9</v>
      </c>
      <c r="F21" s="11">
        <f ca="1">T_Rmk[[#Totals],[NmLen]]-T_Rmk[[#This Row],[NmLen]]</f>
        <v>5</v>
      </c>
      <c r="G21" s="11" t="str">
        <f ca="1">REPT(" ",T_Rmk[[#This Row],[NmFiller]])</f>
        <v xml:space="preserve">     </v>
      </c>
    </row>
    <row r="22" spans="1:7" x14ac:dyDescent="0.35">
      <c r="A22" s="11" t="str">
        <f ca="1">Key!B21</f>
        <v>OS_StruDup</v>
      </c>
      <c r="B22" s="11" t="str">
        <f ca="1">VLOOKUP(T_Rmk[[#This Row],[Key]],T_Src[],13,FALSE)</f>
        <v>JStru</v>
      </c>
      <c r="C22" s="30" t="str">
        <f ca="1">"'"&amp;T_Rmk[RmkNm]&amp;" "&amp;T_Rmk[Fss]</f>
        <v>'OS_StruDup     JStru</v>
      </c>
      <c r="D22" s="34" t="str">
        <f ca="1">T_Rmk[Key]&amp;T_Rmk[[#This Row],[NmSpc]]</f>
        <v xml:space="preserve">OS_StruDup    </v>
      </c>
      <c r="E22" s="11">
        <f ca="1">LEN(T_Rmk[Key])</f>
        <v>10</v>
      </c>
      <c r="F22" s="11">
        <f ca="1">T_Rmk[[#Totals],[NmLen]]-T_Rmk[[#This Row],[NmLen]]</f>
        <v>4</v>
      </c>
      <c r="G22" s="11" t="str">
        <f ca="1">REPT(" ",T_Rmk[[#This Row],[NmFiller]])</f>
        <v xml:space="preserve">    </v>
      </c>
    </row>
    <row r="23" spans="1:7" x14ac:dyDescent="0.35">
      <c r="A23" s="11" t="str">
        <f ca="1">Key!B22</f>
        <v>OS_FldTyEr</v>
      </c>
      <c r="B23" s="11">
        <f ca="1">VLOOKUP(T_Rmk[[#This Row],[Key]],T_Src[],13,FALSE)</f>
        <v>0</v>
      </c>
      <c r="C23" s="30" t="str">
        <f ca="1">"'"&amp;T_Rmk[RmkNm]&amp;" "&amp;T_Rmk[Fss]</f>
        <v>'OS_FldTyEr     0</v>
      </c>
      <c r="D23" s="34" t="str">
        <f ca="1">T_Rmk[Key]&amp;T_Rmk[[#This Row],[NmSpc]]</f>
        <v xml:space="preserve">OS_FldTyEr    </v>
      </c>
      <c r="E23" s="11">
        <f ca="1">LEN(T_Rmk[Key])</f>
        <v>10</v>
      </c>
      <c r="F23" s="11">
        <f ca="1">T_Rmk[[#Totals],[NmLen]]-T_Rmk[[#This Row],[NmLen]]</f>
        <v>4</v>
      </c>
      <c r="G23" s="11" t="str">
        <f ca="1">REPT(" ",T_Rmk[[#This Row],[NmFiller]])</f>
        <v xml:space="preserve">    </v>
      </c>
    </row>
    <row r="24" spans="1:7" x14ac:dyDescent="0.35">
      <c r="A24" s="11" t="str">
        <f ca="1">Key!B23</f>
        <v>OS_StruExcess</v>
      </c>
      <c r="B24" s="11" t="str">
        <f ca="1">VLOOKUP(T_Rmk[[#This Row],[Key]],T_Src[],13,FALSE)</f>
        <v>JStru</v>
      </c>
      <c r="C24" s="30" t="str">
        <f ca="1">"'"&amp;T_Rmk[RmkNm]&amp;" "&amp;T_Rmk[Fss]</f>
        <v>'OS_StruExcess  JStru</v>
      </c>
      <c r="D24" s="34" t="str">
        <f ca="1">T_Rmk[Key]&amp;T_Rmk[[#This Row],[NmSpc]]</f>
        <v xml:space="preserve">OS_StruExcess </v>
      </c>
      <c r="E24" s="11">
        <f ca="1">LEN(T_Rmk[Key])</f>
        <v>13</v>
      </c>
      <c r="F24" s="11">
        <f ca="1">T_Rmk[[#Totals],[NmLen]]-T_Rmk[[#This Row],[NmLen]]</f>
        <v>1</v>
      </c>
      <c r="G24" s="11" t="str">
        <f ca="1">REPT(" ",T_Rmk[[#This Row],[NmFiller]])</f>
        <v xml:space="preserve"> </v>
      </c>
    </row>
    <row r="25" spans="1:7" x14ac:dyDescent="0.35">
      <c r="A25" s="11" t="str">
        <f ca="1">Key!B24</f>
        <v>OS_StruInUse</v>
      </c>
      <c r="B25" s="11" t="str">
        <f ca="1">VLOOKUP(T_Rmk[[#This Row],[Key]],T_Src[],13,FALSE)</f>
        <v>JStru</v>
      </c>
      <c r="C25" s="30" t="str">
        <f ca="1">"'"&amp;T_Rmk[RmkNm]&amp;" "&amp;T_Rmk[Fss]</f>
        <v>'OS_StruInUse   JStru</v>
      </c>
      <c r="D25" s="34" t="str">
        <f ca="1">T_Rmk[Key]&amp;T_Rmk[[#This Row],[NmSpc]]</f>
        <v xml:space="preserve">OS_StruInUse  </v>
      </c>
      <c r="E25" s="11">
        <f ca="1">LEN(T_Rmk[Key])</f>
        <v>12</v>
      </c>
      <c r="F25" s="11">
        <f ca="1">T_Rmk[[#Totals],[NmLen]]-T_Rmk[[#This Row],[NmLen]]</f>
        <v>2</v>
      </c>
      <c r="G25" s="11" t="str">
        <f ca="1">REPT(" ",T_Rmk[[#This Row],[NmFiller]])</f>
        <v xml:space="preserve">  </v>
      </c>
    </row>
    <row r="26" spans="1:7" x14ac:dyDescent="0.35">
      <c r="A26" s="11" t="str">
        <f ca="1">Key!B25</f>
        <v>OS_FxFldTyMis</v>
      </c>
      <c r="B26" s="11">
        <f ca="1">VLOOKUP(T_Rmk[[#This Row],[Key]],T_Src[],13,FALSE)</f>
        <v>0</v>
      </c>
      <c r="C26" s="30" t="str">
        <f ca="1">"'"&amp;T_Rmk[RmkNm]&amp;" "&amp;T_Rmk[Fss]</f>
        <v>'OS_FxFldTyMis  0</v>
      </c>
      <c r="D26" s="34" t="str">
        <f ca="1">T_Rmk[Key]&amp;T_Rmk[[#This Row],[NmSpc]]</f>
        <v xml:space="preserve">OS_FxFldTyMis </v>
      </c>
      <c r="E26" s="11">
        <f ca="1">LEN(T_Rmk[Key])</f>
        <v>13</v>
      </c>
      <c r="F26" s="11">
        <f ca="1">T_Rmk[[#Totals],[NmLen]]-T_Rmk[[#This Row],[NmLen]]</f>
        <v>1</v>
      </c>
      <c r="G26" s="11" t="str">
        <f ca="1">REPT(" ",T_Rmk[[#This Row],[NmFiller]])</f>
        <v xml:space="preserve"> </v>
      </c>
    </row>
    <row r="27" spans="1:7" x14ac:dyDescent="0.35">
      <c r="A27" s="11" t="str">
        <f ca="1">Key!B26</f>
        <v>OS_FldMis</v>
      </c>
      <c r="B27" s="11">
        <f ca="1">VLOOKUP(T_Rmk[[#This Row],[Key]],T_Src[],13,FALSE)</f>
        <v>0</v>
      </c>
      <c r="C27" s="30" t="str">
        <f ca="1">"'"&amp;T_Rmk[RmkNm]&amp;" "&amp;T_Rmk[Fss]</f>
        <v>'OS_FldMis      0</v>
      </c>
      <c r="D27" s="34" t="str">
        <f ca="1">T_Rmk[Key]&amp;T_Rmk[[#This Row],[NmSpc]]</f>
        <v xml:space="preserve">OS_FldMis     </v>
      </c>
      <c r="E27" s="11">
        <f ca="1">LEN(T_Rmk[Key])</f>
        <v>9</v>
      </c>
      <c r="F27" s="11">
        <f ca="1">T_Rmk[[#Totals],[NmLen]]-T_Rmk[[#This Row],[NmLen]]</f>
        <v>5</v>
      </c>
      <c r="G27" s="11" t="str">
        <f ca="1">REPT(" ",T_Rmk[[#This Row],[NmFiller]])</f>
        <v xml:space="preserve">     </v>
      </c>
    </row>
    <row r="28" spans="1:7" x14ac:dyDescent="0.35">
      <c r="A28" s="11" t="str">
        <f ca="1">Key!B27</f>
        <v>OS_1</v>
      </c>
      <c r="B28" s="11" t="str">
        <f ca="1">VLOOKUP(T_Rmk[[#This Row],[Key]],T_Src[],13,FALSE)</f>
        <v>OS_FldDup</v>
      </c>
      <c r="C28" s="30" t="str">
        <f ca="1">"'"&amp;T_Rmk[RmkNm]&amp;" "&amp;T_Rmk[Fss]</f>
        <v>'OS_1           OS_FldDup</v>
      </c>
      <c r="D28" s="34" t="str">
        <f ca="1">T_Rmk[Key]&amp;T_Rmk[[#This Row],[NmSpc]]</f>
        <v xml:space="preserve">OS_1          </v>
      </c>
      <c r="E28" s="11">
        <f ca="1">LEN(T_Rmk[Key])</f>
        <v>4</v>
      </c>
      <c r="F28" s="11">
        <f ca="1">T_Rmk[[#Totals],[NmLen]]-T_Rmk[[#This Row],[NmLen]]</f>
        <v>10</v>
      </c>
      <c r="G28" s="11" t="str">
        <f ca="1">REPT(" ",T_Rmk[[#This Row],[NmFiller]])</f>
        <v xml:space="preserve">          </v>
      </c>
    </row>
    <row r="29" spans="1:7" x14ac:dyDescent="0.35">
      <c r="A29" s="11" t="str">
        <f ca="1">Key!B28</f>
        <v>OS_2</v>
      </c>
      <c r="B29" s="11" t="str">
        <f ca="1">VLOOKUP(T_Rmk[[#This Row],[Key]],T_Src[],13,FALSE)</f>
        <v>OS_FxFldTyMis</v>
      </c>
      <c r="C29" s="30" t="str">
        <f ca="1">"'"&amp;T_Rmk[RmkNm]&amp;" "&amp;T_Rmk[Fss]</f>
        <v>'OS_2           OS_FxFldTyMis</v>
      </c>
      <c r="D29" s="34" t="str">
        <f ca="1">T_Rmk[Key]&amp;T_Rmk[[#This Row],[NmSpc]]</f>
        <v xml:space="preserve">OS_2          </v>
      </c>
      <c r="E29" s="11">
        <f ca="1">LEN(T_Rmk[Key])</f>
        <v>4</v>
      </c>
      <c r="F29" s="11">
        <f ca="1">T_Rmk[[#Totals],[NmLen]]-T_Rmk[[#This Row],[NmLen]]</f>
        <v>10</v>
      </c>
      <c r="G29" s="11" t="str">
        <f ca="1">REPT(" ",T_Rmk[[#This Row],[NmFiller]])</f>
        <v xml:space="preserve">          </v>
      </c>
    </row>
    <row r="30" spans="1:7" x14ac:dyDescent="0.35">
      <c r="A30" s="11" t="str">
        <f ca="1">Key!B29</f>
        <v>OS_All</v>
      </c>
      <c r="B30" s="11" t="str">
        <f ca="1">VLOOKUP(T_Rmk[[#This Row],[Key]],T_Src[],13,FALSE)</f>
        <v>OS_1</v>
      </c>
      <c r="C30" s="30" t="str">
        <f ca="1">"'"&amp;T_Rmk[RmkNm]&amp;" "&amp;T_Rmk[Fss]</f>
        <v>'OS_All         OS_1</v>
      </c>
      <c r="D30" s="34" t="str">
        <f ca="1">T_Rmk[Key]&amp;T_Rmk[[#This Row],[NmSpc]]</f>
        <v xml:space="preserve">OS_All        </v>
      </c>
      <c r="E30" s="11">
        <f ca="1">LEN(T_Rmk[Key])</f>
        <v>6</v>
      </c>
      <c r="F30" s="11">
        <f ca="1">T_Rmk[[#Totals],[NmLen]]-T_Rmk[[#This Row],[NmLen]]</f>
        <v>8</v>
      </c>
      <c r="G30" s="11" t="str">
        <f ca="1">REPT(" ",T_Rmk[[#This Row],[NmFiller]])</f>
        <v xml:space="preserve">        </v>
      </c>
    </row>
    <row r="31" spans="1:7" x14ac:dyDescent="0.35">
      <c r="A31" s="11" t="str">
        <f ca="1">Key!B30</f>
        <v>OX_StruNDef</v>
      </c>
      <c r="B31" s="11" t="str">
        <f ca="1">VLOOKUP(T_Rmk[[#This Row],[Key]],T_Src[],13,FALSE)</f>
        <v>JStru</v>
      </c>
      <c r="C31" s="30" t="str">
        <f ca="1">"'"&amp;T_Rmk[RmkNm]&amp;" "&amp;T_Rmk[Fss]</f>
        <v>'OX_StruNDef    JStru</v>
      </c>
      <c r="D31" s="34" t="str">
        <f ca="1">T_Rmk[Key]&amp;T_Rmk[[#This Row],[NmSpc]]</f>
        <v xml:space="preserve">OX_StruNDef   </v>
      </c>
      <c r="E31" s="11">
        <f ca="1">LEN(T_Rmk[Key])</f>
        <v>11</v>
      </c>
      <c r="F31" s="11">
        <f ca="1">T_Rmk[[#Totals],[NmLen]]-T_Rmk[[#This Row],[NmLen]]</f>
        <v>3</v>
      </c>
      <c r="G31" s="11" t="str">
        <f ca="1">REPT(" ",T_Rmk[[#This Row],[NmFiller]])</f>
        <v xml:space="preserve">   </v>
      </c>
    </row>
    <row r="32" spans="1:7" x14ac:dyDescent="0.35">
      <c r="A32" s="11" t="str">
        <f ca="1">Key!B31</f>
        <v>OX_FxtDup</v>
      </c>
      <c r="B32" s="11">
        <f ca="1">VLOOKUP(T_Rmk[[#This Row],[Key]],T_Src[],13,FALSE)</f>
        <v>0</v>
      </c>
      <c r="C32" s="30" t="str">
        <f ca="1">"'"&amp;T_Rmk[RmkNm]&amp;" "&amp;T_Rmk[Fss]</f>
        <v>'OX_FxtDup      0</v>
      </c>
      <c r="D32" s="34" t="str">
        <f ca="1">T_Rmk[Key]&amp;T_Rmk[[#This Row],[NmSpc]]</f>
        <v xml:space="preserve">OX_FxtDup     </v>
      </c>
      <c r="E32" s="11">
        <f ca="1">LEN(T_Rmk[Key])</f>
        <v>9</v>
      </c>
      <c r="F32" s="11">
        <f ca="1">T_Rmk[[#Totals],[NmLen]]-T_Rmk[[#This Row],[NmLen]]</f>
        <v>5</v>
      </c>
      <c r="G32" s="11" t="str">
        <f ca="1">REPT(" ",T_Rmk[[#This Row],[NmFiller]])</f>
        <v xml:space="preserve">     </v>
      </c>
    </row>
    <row r="33" spans="1:7" x14ac:dyDescent="0.35">
      <c r="A33" s="11" t="str">
        <f ca="1">Key!B32</f>
        <v>OX_FxtNDef</v>
      </c>
      <c r="B33" s="11">
        <f ca="1">VLOOKUP(T_Rmk[[#This Row],[Key]],T_Src[],13,FALSE)</f>
        <v>0</v>
      </c>
      <c r="C33" s="30" t="str">
        <f ca="1">"'"&amp;T_Rmk[RmkNm]&amp;" "&amp;T_Rmk[Fss]</f>
        <v>'OX_FxtNDef     0</v>
      </c>
      <c r="D33" s="34" t="str">
        <f ca="1">T_Rmk[Key]&amp;T_Rmk[[#This Row],[NmSpc]]</f>
        <v xml:space="preserve">OX_FxtNDef    </v>
      </c>
      <c r="E33" s="11">
        <f ca="1">LEN(T_Rmk[Key])</f>
        <v>10</v>
      </c>
      <c r="F33" s="11">
        <f ca="1">T_Rmk[[#Totals],[NmLen]]-T_Rmk[[#This Row],[NmLen]]</f>
        <v>4</v>
      </c>
      <c r="G33" s="11" t="str">
        <f ca="1">REPT(" ",T_Rmk[[#This Row],[NmFiller]])</f>
        <v xml:space="preserve">    </v>
      </c>
    </row>
    <row r="34" spans="1:7" x14ac:dyDescent="0.35">
      <c r="A34" s="11" t="str">
        <f ca="1">Key!B33</f>
        <v>OX_All</v>
      </c>
      <c r="B34" s="11" t="str">
        <f ca="1">VLOOKUP(T_Rmk[[#This Row],[Key]],T_Src[],13,FALSE)</f>
        <v>JStru</v>
      </c>
      <c r="C34" s="30" t="str">
        <f ca="1">"'"&amp;T_Rmk[RmkNm]&amp;" "&amp;T_Rmk[Fss]</f>
        <v>'OX_All         JStru</v>
      </c>
      <c r="D34" s="34" t="str">
        <f ca="1">T_Rmk[Key]&amp;T_Rmk[[#This Row],[NmSpc]]</f>
        <v xml:space="preserve">OX_All        </v>
      </c>
      <c r="E34" s="11">
        <f ca="1">LEN(T_Rmk[Key])</f>
        <v>6</v>
      </c>
      <c r="F34" s="11">
        <f ca="1">T_Rmk[[#Totals],[NmLen]]-T_Rmk[[#This Row],[NmLen]]</f>
        <v>8</v>
      </c>
      <c r="G34" s="11" t="str">
        <f ca="1">REPT(" ",T_Rmk[[#This Row],[NmFiller]])</f>
        <v xml:space="preserve">        </v>
      </c>
    </row>
    <row r="35" spans="1:7" x14ac:dyDescent="0.35">
      <c r="A35" s="11" t="str">
        <f ca="1">Key!B34</f>
        <v>OB_StruNDef</v>
      </c>
      <c r="B35" s="11" t="str">
        <f ca="1">VLOOKUP(T_Rmk[[#This Row],[Key]],T_Src[],13,FALSE)</f>
        <v>OX_StruNDef</v>
      </c>
      <c r="C35" s="30" t="str">
        <f ca="1">"'"&amp;T_Rmk[RmkNm]&amp;" "&amp;T_Rmk[Fss]</f>
        <v>'OB_StruNDef    OX_StruNDef</v>
      </c>
      <c r="D35" s="34" t="str">
        <f ca="1">T_Rmk[Key]&amp;T_Rmk[[#This Row],[NmSpc]]</f>
        <v xml:space="preserve">OB_StruNDef   </v>
      </c>
      <c r="E35" s="11">
        <f ca="1">LEN(T_Rmk[Key])</f>
        <v>11</v>
      </c>
      <c r="F35" s="11">
        <f ca="1">T_Rmk[[#Totals],[NmLen]]-T_Rmk[[#This Row],[NmLen]]</f>
        <v>3</v>
      </c>
      <c r="G35" s="11" t="str">
        <f ca="1">REPT(" ",T_Rmk[[#This Row],[NmFiller]])</f>
        <v xml:space="preserve">   </v>
      </c>
    </row>
    <row r="36" spans="1:7" x14ac:dyDescent="0.35">
      <c r="A36" s="11" t="str">
        <f ca="1">Key!B35</f>
        <v>OB_FbnNDef</v>
      </c>
      <c r="B36" s="11">
        <f ca="1">VLOOKUP(T_Rmk[[#This Row],[Key]],T_Src[],13,FALSE)</f>
        <v>0</v>
      </c>
      <c r="C36" s="30" t="str">
        <f ca="1">"'"&amp;T_Rmk[RmkNm]&amp;" "&amp;T_Rmk[Fss]</f>
        <v>'OB_FbnNDef     0</v>
      </c>
      <c r="D36" s="34" t="str">
        <f ca="1">T_Rmk[Key]&amp;T_Rmk[[#This Row],[NmSpc]]</f>
        <v xml:space="preserve">OB_FbnNDef    </v>
      </c>
      <c r="E36" s="11">
        <f ca="1">LEN(T_Rmk[Key])</f>
        <v>10</v>
      </c>
      <c r="F36" s="11">
        <f ca="1">T_Rmk[[#Totals],[NmLen]]-T_Rmk[[#This Row],[NmLen]]</f>
        <v>4</v>
      </c>
      <c r="G36" s="11" t="str">
        <f ca="1">REPT(" ",T_Rmk[[#This Row],[NmFiller]])</f>
        <v xml:space="preserve">    </v>
      </c>
    </row>
    <row r="37" spans="1:7" x14ac:dyDescent="0.35">
      <c r="A37" s="11" t="str">
        <f ca="1">Key!B36</f>
        <v>OB_FbtMis</v>
      </c>
      <c r="B37" s="11">
        <f ca="1">VLOOKUP(T_Rmk[[#This Row],[Key]],T_Src[],13,FALSE)</f>
        <v>0</v>
      </c>
      <c r="C37" s="30" t="str">
        <f ca="1">"'"&amp;T_Rmk[RmkNm]&amp;" "&amp;T_Rmk[Fss]</f>
        <v>'OB_FbtMis      0</v>
      </c>
      <c r="D37" s="34" t="str">
        <f ca="1">T_Rmk[Key]&amp;T_Rmk[[#This Row],[NmSpc]]</f>
        <v xml:space="preserve">OB_FbtMis     </v>
      </c>
      <c r="E37" s="11">
        <f ca="1">LEN(T_Rmk[Key])</f>
        <v>9</v>
      </c>
      <c r="F37" s="11">
        <f ca="1">T_Rmk[[#Totals],[NmLen]]-T_Rmk[[#This Row],[NmLen]]</f>
        <v>5</v>
      </c>
      <c r="G37" s="11" t="str">
        <f ca="1">REPT(" ",T_Rmk[[#This Row],[NmFiller]])</f>
        <v xml:space="preserve">     </v>
      </c>
    </row>
    <row r="38" spans="1:7" x14ac:dyDescent="0.35">
      <c r="A38" s="11" t="str">
        <f ca="1">Key!B37</f>
        <v>OB_All</v>
      </c>
      <c r="B38" s="11" t="str">
        <f ca="1">VLOOKUP(T_Rmk[[#This Row],[Key]],T_Src[],13,FALSE)</f>
        <v>OB_StruNDef</v>
      </c>
      <c r="C38" s="30" t="str">
        <f ca="1">"'"&amp;T_Rmk[RmkNm]&amp;" "&amp;T_Rmk[Fss]</f>
        <v>'OB_All         OB_StruNDef</v>
      </c>
      <c r="D38" s="34" t="str">
        <f ca="1">T_Rmk[Key]&amp;T_Rmk[[#This Row],[NmSpc]]</f>
        <v xml:space="preserve">OB_All        </v>
      </c>
      <c r="E38" s="11">
        <f ca="1">LEN(T_Rmk[Key])</f>
        <v>6</v>
      </c>
      <c r="F38" s="11">
        <f ca="1">T_Rmk[[#Totals],[NmLen]]-T_Rmk[[#This Row],[NmLen]]</f>
        <v>8</v>
      </c>
      <c r="G38" s="11" t="str">
        <f ca="1">REPT(" ",T_Rmk[[#This Row],[NmFiller]])</f>
        <v xml:space="preserve">        </v>
      </c>
    </row>
    <row r="39" spans="1:7" x14ac:dyDescent="0.35">
      <c r="A39" s="11" t="str">
        <f ca="1">Key!B38</f>
        <v>OW_TblDup</v>
      </c>
      <c r="B39" s="11" t="str">
        <f ca="1">VLOOKUP(T_Rmk[[#This Row],[Key]],T_Src[],13,FALSE)</f>
        <v>TTbl</v>
      </c>
      <c r="C39" s="30" t="str">
        <f ca="1">"'"&amp;T_Rmk[RmkNm]&amp;" "&amp;T_Rmk[Fss]</f>
        <v>'OW_TblDup      TTbl</v>
      </c>
      <c r="D39" s="34" t="str">
        <f ca="1">T_Rmk[Key]&amp;T_Rmk[[#This Row],[NmSpc]]</f>
        <v xml:space="preserve">OW_TblDup     </v>
      </c>
      <c r="E39" s="11">
        <f ca="1">LEN(T_Rmk[Key])</f>
        <v>9</v>
      </c>
      <c r="F39" s="11">
        <f ca="1">T_Rmk[[#Totals],[NmLen]]-T_Rmk[[#This Row],[NmLen]]</f>
        <v>5</v>
      </c>
      <c r="G39" s="11" t="str">
        <f ca="1">REPT(" ",T_Rmk[[#This Row],[NmFiller]])</f>
        <v xml:space="preserve">     </v>
      </c>
    </row>
    <row r="40" spans="1:7" x14ac:dyDescent="0.35">
      <c r="A40" s="11" t="str">
        <f ca="1">Key!B39</f>
        <v>OW_TblNDef</v>
      </c>
      <c r="B40" s="11" t="str">
        <f ca="1">VLOOKUP(T_Rmk[[#This Row],[Key]],T_Src[],13,FALSE)</f>
        <v>TTbl</v>
      </c>
      <c r="C40" s="30" t="str">
        <f ca="1">"'"&amp;T_Rmk[RmkNm]&amp;" "&amp;T_Rmk[Fss]</f>
        <v>'OW_TblNDef     TTbl</v>
      </c>
      <c r="D40" s="34" t="str">
        <f ca="1">T_Rmk[Key]&amp;T_Rmk[[#This Row],[NmSpc]]</f>
        <v xml:space="preserve">OW_TblNDef    </v>
      </c>
      <c r="E40" s="11">
        <f ca="1">LEN(T_Rmk[Key])</f>
        <v>10</v>
      </c>
      <c r="F40" s="11">
        <f ca="1">T_Rmk[[#Totals],[NmLen]]-T_Rmk[[#This Row],[NmLen]]</f>
        <v>4</v>
      </c>
      <c r="G40" s="11" t="str">
        <f ca="1">REPT(" ",T_Rmk[[#This Row],[NmFiller]])</f>
        <v xml:space="preserve">    </v>
      </c>
    </row>
    <row r="41" spans="1:7" x14ac:dyDescent="0.35">
      <c r="A41" s="11" t="str">
        <f ca="1">Key!B40</f>
        <v>OW_TblExcess</v>
      </c>
      <c r="B41" s="11" t="str">
        <f ca="1">VLOOKUP(T_Rmk[[#This Row],[Key]],T_Src[],13,FALSE)</f>
        <v>TTbl</v>
      </c>
      <c r="C41" s="30" t="str">
        <f ca="1">"'"&amp;T_Rmk[RmkNm]&amp;" "&amp;T_Rmk[Fss]</f>
        <v>'OW_TblExcess   TTbl</v>
      </c>
      <c r="D41" s="34" t="str">
        <f ca="1">T_Rmk[Key]&amp;T_Rmk[[#This Row],[NmSpc]]</f>
        <v xml:space="preserve">OW_TblExcess  </v>
      </c>
      <c r="E41" s="11">
        <f ca="1">LEN(T_Rmk[Key])</f>
        <v>12</v>
      </c>
      <c r="F41" s="11">
        <f ca="1">T_Rmk[[#Totals],[NmLen]]-T_Rmk[[#This Row],[NmLen]]</f>
        <v>2</v>
      </c>
      <c r="G41" s="11" t="str">
        <f ca="1">REPT(" ",T_Rmk[[#This Row],[NmFiller]])</f>
        <v xml:space="preserve">  </v>
      </c>
    </row>
    <row r="42" spans="1:7" x14ac:dyDescent="0.35">
      <c r="A42" s="11" t="str">
        <f ca="1">Key!B41</f>
        <v>OW_All</v>
      </c>
      <c r="B42" s="11" t="str">
        <f ca="1">VLOOKUP(T_Rmk[[#This Row],[Key]],T_Src[],13,FALSE)</f>
        <v>OW_TblDup</v>
      </c>
      <c r="C42" s="30" t="str">
        <f ca="1">"'"&amp;T_Rmk[RmkNm]&amp;" "&amp;T_Rmk[Fss]</f>
        <v>'OW_All         OW_TblDup</v>
      </c>
      <c r="D42" s="34" t="str">
        <f ca="1">T_Rmk[Key]&amp;T_Rmk[[#This Row],[NmSpc]]</f>
        <v xml:space="preserve">OW_All        </v>
      </c>
      <c r="E42" s="11">
        <f ca="1">LEN(T_Rmk[Key])</f>
        <v>6</v>
      </c>
      <c r="F42" s="11">
        <f ca="1">T_Rmk[[#Totals],[NmLen]]-T_Rmk[[#This Row],[NmLen]]</f>
        <v>8</v>
      </c>
      <c r="G42" s="11" t="str">
        <f ca="1">REPT(" ",T_Rmk[[#This Row],[NmFiller]])</f>
        <v xml:space="preserve">        </v>
      </c>
    </row>
    <row r="43" spans="1:7" x14ac:dyDescent="0.35">
      <c r="A43" s="11" t="str">
        <f ca="1">Key!B42</f>
        <v>OEr</v>
      </c>
      <c r="B43" s="11" t="str">
        <f ca="1">VLOOKUP(T_Rmk[[#This Row],[Key]],T_Src[],13,FALSE)</f>
        <v>OS_All</v>
      </c>
      <c r="C43" s="30" t="str">
        <f ca="1">"'"&amp;T_Rmk[RmkNm]&amp;" "&amp;T_Rmk[Fss]</f>
        <v>'OEr            OS_All</v>
      </c>
      <c r="D43" s="34" t="str">
        <f ca="1">T_Rmk[Key]&amp;T_Rmk[[#This Row],[NmSpc]]</f>
        <v xml:space="preserve">OEr           </v>
      </c>
      <c r="E43" s="11">
        <f ca="1">LEN(T_Rmk[Key])</f>
        <v>3</v>
      </c>
      <c r="F43" s="11">
        <f ca="1">T_Rmk[[#Totals],[NmLen]]-T_Rmk[[#This Row],[NmLen]]</f>
        <v>11</v>
      </c>
      <c r="G43" s="11" t="str">
        <f ca="1">REPT(" ",T_Rmk[[#This Row],[NmFiller]])</f>
        <v xml:space="preserve">           </v>
      </c>
    </row>
    <row r="44" spans="1:7" x14ac:dyDescent="0.35">
      <c r="A44" s="30" t="s">
        <v>0</v>
      </c>
      <c r="B44" s="30"/>
      <c r="C44" s="30"/>
      <c r="D44" s="34"/>
      <c r="E44" s="11">
        <f ca="1">SUBTOTAL(104,T_Rmk[NmLen])</f>
        <v>14</v>
      </c>
      <c r="F44" s="11"/>
      <c r="G44" s="11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79AA5-BA1B-4F27-86D1-06C4417C7CBE}">
  <sheetPr codeName="WsCnst"/>
  <dimension ref="A1:G44"/>
  <sheetViews>
    <sheetView topLeftCell="C1" workbookViewId="0">
      <selection activeCell="G4" sqref="G4"/>
    </sheetView>
  </sheetViews>
  <sheetFormatPr defaultRowHeight="16.5" x14ac:dyDescent="0.45"/>
  <cols>
    <col min="1" max="1" width="10.1796875" style="5" customWidth="1"/>
    <col min="2" max="2" width="22.1796875" style="5" customWidth="1"/>
    <col min="3" max="3" width="9.1796875" style="5" bestFit="1" customWidth="1"/>
    <col min="4" max="6" width="8.7265625" style="5"/>
    <col min="7" max="7" width="74.453125" style="5" bestFit="1" customWidth="1"/>
    <col min="8" max="16384" width="8.7265625" style="5"/>
  </cols>
  <sheetData>
    <row r="1" spans="1:7" x14ac:dyDescent="0.45">
      <c r="A1" s="5" t="s">
        <v>84</v>
      </c>
    </row>
    <row r="2" spans="1:7" x14ac:dyDescent="0.45">
      <c r="G2" s="31"/>
    </row>
    <row r="3" spans="1:7" x14ac:dyDescent="0.45">
      <c r="A3" s="5" t="s">
        <v>95</v>
      </c>
      <c r="B3" s="5" t="s">
        <v>96</v>
      </c>
      <c r="C3" s="5" t="s">
        <v>6</v>
      </c>
      <c r="D3" s="5" t="s">
        <v>7</v>
      </c>
      <c r="E3" s="5" t="s">
        <v>8</v>
      </c>
      <c r="F3" s="5" t="s">
        <v>9</v>
      </c>
      <c r="G3" s="5" t="s">
        <v>14</v>
      </c>
    </row>
    <row r="4" spans="1:7" x14ac:dyDescent="0.45">
      <c r="A4" s="5" t="str">
        <f ca="1">Key!B2</f>
        <v>LnkImpSrc</v>
      </c>
      <c r="B4" s="5" t="e">
        <f ca="1">VLOOKUP(T_Cnst[[#This Row],[CnstNm]],T_Src[],19,FALSE)</f>
        <v>#REF!</v>
      </c>
      <c r="C4" s="5" t="str">
        <f ca="1">"Const "&amp;T_Cnst[[#This Row],[CnstNm]]</f>
        <v>Const LnkImpSrc</v>
      </c>
      <c r="D4" s="5" t="str">
        <f t="shared" ref="D4:D9" si="0">"_$ = """</f>
        <v>_$ = "</v>
      </c>
      <c r="E4" s="5" t="e">
        <f ca="1">T_Cnst[[#This Row],[Val]]</f>
        <v>#REF!</v>
      </c>
      <c r="F4" s="5" t="s">
        <v>97</v>
      </c>
      <c r="G4" s="5" t="e">
        <f ca="1">T_Cnst[[#This Row],[P1]]&amp;T_Cnst[[#This Row],[P2]]&amp;T_Cnst[[#This Row],[P3]]&amp;T_Cnst[[#This Row],[P4]]</f>
        <v>#REF!</v>
      </c>
    </row>
    <row r="5" spans="1:7" x14ac:dyDescent="0.45">
      <c r="A5" s="5" t="str">
        <f ca="1">Key!B3</f>
        <v>IInpFil</v>
      </c>
      <c r="B5" s="5" t="e">
        <f ca="1">VLOOKUP(T_Cnst[[#This Row],[CnstNm]],T_Src[],19,FALSE)</f>
        <v>#REF!</v>
      </c>
      <c r="C5" s="5" t="str">
        <f ca="1">"Const "&amp;T_Cnst[[#This Row],[CnstNm]]</f>
        <v>Const IInpFil</v>
      </c>
      <c r="D5" s="5" t="str">
        <f t="shared" si="0"/>
        <v>_$ = "</v>
      </c>
      <c r="E5" s="5" t="e">
        <f ca="1">T_Cnst[[#This Row],[Val]]</f>
        <v>#REF!</v>
      </c>
      <c r="F5" s="5" t="s">
        <v>97</v>
      </c>
      <c r="G5" s="5" t="e">
        <f ca="1">T_Cnst[[#This Row],[P1]]&amp;T_Cnst[[#This Row],[P2]]&amp;T_Cnst[[#This Row],[P3]]&amp;T_Cnst[[#This Row],[P4]]</f>
        <v>#REF!</v>
      </c>
    </row>
    <row r="6" spans="1:7" x14ac:dyDescent="0.45">
      <c r="A6" s="5" t="str">
        <f ca="1">Key!B4</f>
        <v>ILnkImp</v>
      </c>
      <c r="B6" s="5" t="e">
        <f ca="1">VLOOKUP(T_Cnst[[#This Row],[CnstNm]],T_Src[],19,FALSE)</f>
        <v>#REF!</v>
      </c>
      <c r="C6" s="5" t="str">
        <f ca="1">"Const "&amp;T_Cnst[[#This Row],[CnstNm]]</f>
        <v>Const ILnkImp</v>
      </c>
      <c r="D6" s="5" t="str">
        <f t="shared" si="0"/>
        <v>_$ = "</v>
      </c>
      <c r="E6" s="5" t="e">
        <f ca="1">T_Cnst[[#This Row],[Val]]</f>
        <v>#REF!</v>
      </c>
      <c r="F6" s="5" t="s">
        <v>97</v>
      </c>
      <c r="G6" s="5" t="e">
        <f ca="1">T_Cnst[[#This Row],[P1]]&amp;T_Cnst[[#This Row],[P2]]&amp;T_Cnst[[#This Row],[P3]]&amp;T_Cnst[[#This Row],[P4]]</f>
        <v>#REF!</v>
      </c>
    </row>
    <row r="7" spans="1:7" x14ac:dyDescent="0.45">
      <c r="A7" s="5" t="str">
        <f ca="1">Key!B5</f>
        <v>JStru</v>
      </c>
      <c r="B7" s="5" t="e">
        <f ca="1">VLOOKUP(T_Cnst[[#This Row],[CnstNm]],T_Src[],19,FALSE)</f>
        <v>#REF!</v>
      </c>
      <c r="C7" s="5" t="str">
        <f ca="1">"Const "&amp;T_Cnst[[#This Row],[CnstNm]]</f>
        <v>Const JStru</v>
      </c>
      <c r="D7" s="5" t="str">
        <f t="shared" si="0"/>
        <v>_$ = "</v>
      </c>
      <c r="E7" s="5" t="e">
        <f ca="1">T_Cnst[[#This Row],[Val]]</f>
        <v>#REF!</v>
      </c>
      <c r="F7" s="5" t="s">
        <v>97</v>
      </c>
      <c r="G7" s="5" t="e">
        <f ca="1">T_Cnst[[#This Row],[P1]]&amp;T_Cnst[[#This Row],[P2]]&amp;T_Cnst[[#This Row],[P3]]&amp;T_Cnst[[#This Row],[P4]]</f>
        <v>#REF!</v>
      </c>
    </row>
    <row r="8" spans="1:7" x14ac:dyDescent="0.45">
      <c r="A8" s="5" t="str">
        <f ca="1">Key!B6</f>
        <v>JStruF</v>
      </c>
      <c r="B8" s="5" t="e">
        <f ca="1">VLOOKUP(T_Cnst[[#This Row],[CnstNm]],T_Src[],19,FALSE)</f>
        <v>#REF!</v>
      </c>
      <c r="C8" s="5" t="str">
        <f ca="1">"Const "&amp;T_Cnst[[#This Row],[CnstNm]]</f>
        <v>Const JStruF</v>
      </c>
      <c r="D8" s="5" t="str">
        <f t="shared" si="0"/>
        <v>_$ = "</v>
      </c>
      <c r="E8" s="5" t="e">
        <f ca="1">T_Cnst[[#This Row],[Val]]</f>
        <v>#REF!</v>
      </c>
      <c r="F8" s="5" t="s">
        <v>97</v>
      </c>
      <c r="G8" s="5" t="e">
        <f ca="1">T_Cnst[[#This Row],[P1]]&amp;T_Cnst[[#This Row],[P2]]&amp;T_Cnst[[#This Row],[P3]]&amp;T_Cnst[[#This Row],[P4]]</f>
        <v>#REF!</v>
      </c>
    </row>
    <row r="9" spans="1:7" x14ac:dyDescent="0.45">
      <c r="A9" s="5" t="str">
        <f ca="1">Key!B7</f>
        <v>JFxTbl</v>
      </c>
      <c r="B9" s="5" t="e">
        <f ca="1">VLOOKUP(T_Cnst[[#This Row],[CnstNm]],T_Src[],19,FALSE)</f>
        <v>#REF!</v>
      </c>
      <c r="C9" s="5" t="str">
        <f ca="1">"Const "&amp;T_Cnst[[#This Row],[CnstNm]]</f>
        <v>Const JFxTbl</v>
      </c>
      <c r="D9" s="5" t="str">
        <f t="shared" si="0"/>
        <v>_$ = "</v>
      </c>
      <c r="E9" s="5" t="e">
        <f ca="1">T_Cnst[[#This Row],[Val]]</f>
        <v>#REF!</v>
      </c>
      <c r="F9" s="5" t="s">
        <v>97</v>
      </c>
      <c r="G9" s="5" t="e">
        <f ca="1">T_Cnst[[#This Row],[P1]]&amp;T_Cnst[[#This Row],[P2]]&amp;T_Cnst[[#This Row],[P3]]&amp;T_Cnst[[#This Row],[P4]]</f>
        <v>#REF!</v>
      </c>
    </row>
    <row r="10" spans="1:7" x14ac:dyDescent="0.45">
      <c r="A10" s="5" t="str">
        <f ca="1">Key!B8</f>
        <v>JFbTbl</v>
      </c>
      <c r="B10" s="5" t="e">
        <f ca="1">VLOOKUP(T_Cnst[[#This Row],[CnstNm]],T_Src[],19,FALSE)</f>
        <v>#REF!</v>
      </c>
      <c r="C10" s="5" t="str">
        <f ca="1">"Const "&amp;T_Cnst[[#This Row],[CnstNm]]</f>
        <v>Const JFbTbl</v>
      </c>
      <c r="D10" s="5" t="str">
        <f t="shared" ref="D10:D12" si="1">"_$ = """</f>
        <v>_$ = "</v>
      </c>
      <c r="E10" s="5" t="e">
        <f ca="1">T_Cnst[[#This Row],[Val]]</f>
        <v>#REF!</v>
      </c>
      <c r="F10" s="5" t="s">
        <v>97</v>
      </c>
      <c r="G10" s="5" t="e">
        <f ca="1">T_Cnst[[#This Row],[P1]]&amp;T_Cnst[[#This Row],[P2]]&amp;T_Cnst[[#This Row],[P3]]&amp;T_Cnst[[#This Row],[P4]]</f>
        <v>#REF!</v>
      </c>
    </row>
    <row r="11" spans="1:7" x14ac:dyDescent="0.45">
      <c r="A11" s="5" t="str">
        <f ca="1">Key!B9</f>
        <v>JTblWh</v>
      </c>
      <c r="B11" s="5" t="e">
        <f ca="1">VLOOKUP(T_Cnst[[#This Row],[CnstNm]],T_Src[],19,FALSE)</f>
        <v>#REF!</v>
      </c>
      <c r="C11" s="5" t="str">
        <f ca="1">"Const "&amp;T_Cnst[[#This Row],[CnstNm]]</f>
        <v>Const JTblWh</v>
      </c>
      <c r="D11" s="5" t="str">
        <f t="shared" si="1"/>
        <v>_$ = "</v>
      </c>
      <c r="E11" s="5" t="e">
        <f ca="1">T_Cnst[[#This Row],[Val]]</f>
        <v>#REF!</v>
      </c>
      <c r="F11" s="5" t="s">
        <v>97</v>
      </c>
      <c r="G11" s="5" t="e">
        <f ca="1">T_Cnst[[#This Row],[P1]]&amp;T_Cnst[[#This Row],[P2]]&amp;T_Cnst[[#This Row],[P3]]&amp;T_Cnst[[#This Row],[P4]]</f>
        <v>#REF!</v>
      </c>
    </row>
    <row r="12" spans="1:7" x14ac:dyDescent="0.45">
      <c r="A12" s="5" t="str">
        <f ca="1">Key!B10</f>
        <v>TTbl</v>
      </c>
      <c r="B12" s="5" t="e">
        <f ca="1">VLOOKUP(T_Cnst[[#This Row],[CnstNm]],T_Src[],19,FALSE)</f>
        <v>#REF!</v>
      </c>
      <c r="C12" s="5" t="str">
        <f ca="1">"Const "&amp;T_Cnst[[#This Row],[CnstNm]]</f>
        <v>Const TTbl</v>
      </c>
      <c r="D12" s="5" t="str">
        <f t="shared" si="1"/>
        <v>_$ = "</v>
      </c>
      <c r="E12" s="5" t="e">
        <f ca="1">T_Cnst[[#This Row],[Val]]</f>
        <v>#REF!</v>
      </c>
      <c r="F12" s="5" t="s">
        <v>97</v>
      </c>
      <c r="G12" s="5" t="e">
        <f ca="1">T_Cnst[[#This Row],[P1]]&amp;T_Cnst[[#This Row],[P2]]&amp;T_Cnst[[#This Row],[P3]]&amp;T_Cnst[[#This Row],[P4]]</f>
        <v>#REF!</v>
      </c>
    </row>
    <row r="13" spans="1:7" x14ac:dyDescent="0.45">
      <c r="A13" s="5" t="str">
        <f ca="1">Key!B11</f>
        <v>TETblFld</v>
      </c>
      <c r="B13" s="5" t="e">
        <f ca="1">VLOOKUP(T_Cnst[[#This Row],[CnstNm]],T_Src[],19,FALSE)</f>
        <v>#REF!</v>
      </c>
      <c r="C13" s="5" t="str">
        <f ca="1">"Const "&amp;T_Cnst[[#This Row],[CnstNm]]</f>
        <v>Const TETblFld</v>
      </c>
      <c r="D13" s="5" t="str">
        <f t="shared" ref="D13:D21" si="2">"_$ = """</f>
        <v>_$ = "</v>
      </c>
      <c r="E13" s="5" t="e">
        <f ca="1">T_Cnst[[#This Row],[Val]]</f>
        <v>#REF!</v>
      </c>
      <c r="F13" s="5" t="s">
        <v>97</v>
      </c>
      <c r="G13" s="5" t="e">
        <f ca="1">T_Cnst[[#This Row],[P1]]&amp;T_Cnst[[#This Row],[P2]]&amp;T_Cnst[[#This Row],[P3]]&amp;T_Cnst[[#This Row],[P4]]</f>
        <v>#REF!</v>
      </c>
    </row>
    <row r="14" spans="1:7" x14ac:dyDescent="0.45">
      <c r="A14" s="5" t="str">
        <f ca="1">Key!B12</f>
        <v>TATblFld</v>
      </c>
      <c r="B14" s="5" t="e">
        <f ca="1">VLOOKUP(T_Cnst[[#This Row],[CnstNm]],T_Src[],19,FALSE)</f>
        <v>#REF!</v>
      </c>
      <c r="C14" s="5" t="str">
        <f ca="1">"Const "&amp;T_Cnst[[#This Row],[CnstNm]]</f>
        <v>Const TATblFld</v>
      </c>
      <c r="D14" s="5" t="str">
        <f t="shared" si="2"/>
        <v>_$ = "</v>
      </c>
      <c r="E14" s="5" t="e">
        <f ca="1">T_Cnst[[#This Row],[Val]]</f>
        <v>#REF!</v>
      </c>
      <c r="F14" s="5" t="s">
        <v>97</v>
      </c>
      <c r="G14" s="5" t="e">
        <f ca="1">T_Cnst[[#This Row],[P1]]&amp;T_Cnst[[#This Row],[P2]]&amp;T_Cnst[[#This Row],[P3]]&amp;T_Cnst[[#This Row],[P4]]</f>
        <v>#REF!</v>
      </c>
    </row>
    <row r="15" spans="1:7" x14ac:dyDescent="0.45">
      <c r="A15" s="5" t="str">
        <f ca="1">Key!B13</f>
        <v>OU_FfnNFnd</v>
      </c>
      <c r="B15" s="5" t="e">
        <f ca="1">VLOOKUP(T_Cnst[[#This Row],[CnstNm]],T_Src[],19,FALSE)</f>
        <v>#REF!</v>
      </c>
      <c r="C15" s="5" t="str">
        <f ca="1">"Const "&amp;T_Cnst[[#This Row],[CnstNm]]</f>
        <v>Const OU_FfnNFnd</v>
      </c>
      <c r="D15" s="5" t="str">
        <f t="shared" si="2"/>
        <v>_$ = "</v>
      </c>
      <c r="E15" s="5" t="e">
        <f ca="1">T_Cnst[[#This Row],[Val]]</f>
        <v>#REF!</v>
      </c>
      <c r="F15" s="5" t="s">
        <v>97</v>
      </c>
      <c r="G15" s="5" t="e">
        <f ca="1">T_Cnst[[#This Row],[P1]]&amp;T_Cnst[[#This Row],[P2]]&amp;T_Cnst[[#This Row],[P3]]&amp;T_Cnst[[#This Row],[P4]]</f>
        <v>#REF!</v>
      </c>
    </row>
    <row r="16" spans="1:7" x14ac:dyDescent="0.45">
      <c r="A16" s="5" t="str">
        <f ca="1">Key!B14</f>
        <v>OU_FbtNFnd</v>
      </c>
      <c r="B16" s="5" t="e">
        <f ca="1">VLOOKUP(T_Cnst[[#This Row],[CnstNm]],T_Src[],19,FALSE)</f>
        <v>#REF!</v>
      </c>
      <c r="C16" s="5" t="str">
        <f ca="1">"Const "&amp;T_Cnst[[#This Row],[CnstNm]]</f>
        <v>Const OU_FbtNFnd</v>
      </c>
      <c r="D16" s="5" t="str">
        <f t="shared" si="2"/>
        <v>_$ = "</v>
      </c>
      <c r="E16" s="5" t="e">
        <f ca="1">T_Cnst[[#This Row],[Val]]</f>
        <v>#REF!</v>
      </c>
      <c r="F16" s="5" t="s">
        <v>97</v>
      </c>
      <c r="G16" s="5" t="e">
        <f ca="1">T_Cnst[[#This Row],[P1]]&amp;T_Cnst[[#This Row],[P2]]&amp;T_Cnst[[#This Row],[P3]]&amp;T_Cnst[[#This Row],[P4]]</f>
        <v>#REF!</v>
      </c>
    </row>
    <row r="17" spans="1:7" x14ac:dyDescent="0.45">
      <c r="A17" s="5" t="str">
        <f ca="1">Key!B15</f>
        <v>OU_WsnNFnd</v>
      </c>
      <c r="B17" s="5" t="e">
        <f ca="1">VLOOKUP(T_Cnst[[#This Row],[CnstNm]],T_Src[],19,FALSE)</f>
        <v>#REF!</v>
      </c>
      <c r="C17" s="5" t="str">
        <f ca="1">"Const "&amp;T_Cnst[[#This Row],[CnstNm]]</f>
        <v>Const OU_WsnNFnd</v>
      </c>
      <c r="D17" s="5" t="str">
        <f t="shared" si="2"/>
        <v>_$ = "</v>
      </c>
      <c r="E17" s="5" t="e">
        <f ca="1">T_Cnst[[#This Row],[Val]]</f>
        <v>#REF!</v>
      </c>
      <c r="F17" s="5" t="s">
        <v>97</v>
      </c>
      <c r="G17" s="5" t="e">
        <f ca="1">T_Cnst[[#This Row],[P1]]&amp;T_Cnst[[#This Row],[P2]]&amp;T_Cnst[[#This Row],[P3]]&amp;T_Cnst[[#This Row],[P4]]</f>
        <v>#REF!</v>
      </c>
    </row>
    <row r="18" spans="1:7" x14ac:dyDescent="0.45">
      <c r="A18" s="5" t="str">
        <f ca="1">Key!B16</f>
        <v>OU_FxExtnNFnd</v>
      </c>
      <c r="B18" s="5" t="e">
        <f ca="1">VLOOKUP(T_Cnst[[#This Row],[CnstNm]],T_Src[],19,FALSE)</f>
        <v>#REF!</v>
      </c>
      <c r="C18" s="5" t="str">
        <f ca="1">"Const "&amp;T_Cnst[[#This Row],[CnstNm]]</f>
        <v>Const OU_FxExtnNFnd</v>
      </c>
      <c r="D18" s="5" t="str">
        <f t="shared" si="2"/>
        <v>_$ = "</v>
      </c>
      <c r="E18" s="5" t="e">
        <f ca="1">T_Cnst[[#This Row],[Val]]</f>
        <v>#REF!</v>
      </c>
      <c r="F18" s="5" t="s">
        <v>97</v>
      </c>
      <c r="G18" s="5" t="e">
        <f ca="1">T_Cnst[[#This Row],[P1]]&amp;T_Cnst[[#This Row],[P2]]&amp;T_Cnst[[#This Row],[P3]]&amp;T_Cnst[[#This Row],[P4]]</f>
        <v>#REF!</v>
      </c>
    </row>
    <row r="19" spans="1:7" x14ac:dyDescent="0.45">
      <c r="A19" s="5" t="str">
        <f ca="1">Key!B17</f>
        <v>OU_FxFldTyNMch</v>
      </c>
      <c r="B19" s="5" t="e">
        <f ca="1">VLOOKUP(T_Cnst[[#This Row],[CnstNm]],T_Src[],19,FALSE)</f>
        <v>#REF!</v>
      </c>
      <c r="C19" s="5" t="str">
        <f ca="1">"Const "&amp;T_Cnst[[#This Row],[CnstNm]]</f>
        <v>Const OU_FxFldTyNMch</v>
      </c>
      <c r="D19" s="5" t="str">
        <f t="shared" si="2"/>
        <v>_$ = "</v>
      </c>
      <c r="E19" s="5" t="e">
        <f ca="1">T_Cnst[[#This Row],[Val]]</f>
        <v>#REF!</v>
      </c>
      <c r="F19" s="5" t="s">
        <v>97</v>
      </c>
      <c r="G19" s="5" t="e">
        <f ca="1">T_Cnst[[#This Row],[P1]]&amp;T_Cnst[[#This Row],[P2]]&amp;T_Cnst[[#This Row],[P3]]&amp;T_Cnst[[#This Row],[P4]]</f>
        <v>#REF!</v>
      </c>
    </row>
    <row r="20" spans="1:7" x14ac:dyDescent="0.45">
      <c r="A20" s="5" t="str">
        <f ca="1">Key!B18</f>
        <v>OU_All</v>
      </c>
      <c r="B20" s="5" t="e">
        <f ca="1">VLOOKUP(T_Cnst[[#This Row],[CnstNm]],T_Src[],19,FALSE)</f>
        <v>#REF!</v>
      </c>
      <c r="C20" s="5" t="str">
        <f ca="1">"Const "&amp;T_Cnst[[#This Row],[CnstNm]]</f>
        <v>Const OU_All</v>
      </c>
      <c r="D20" s="5" t="str">
        <f t="shared" si="2"/>
        <v>_$ = "</v>
      </c>
      <c r="E20" s="5" t="e">
        <f ca="1">T_Cnst[[#This Row],[Val]]</f>
        <v>#REF!</v>
      </c>
      <c r="F20" s="5" t="s">
        <v>97</v>
      </c>
      <c r="G20" s="5" t="e">
        <f ca="1">T_Cnst[[#This Row],[P1]]&amp;T_Cnst[[#This Row],[P2]]&amp;T_Cnst[[#This Row],[P3]]&amp;T_Cnst[[#This Row],[P4]]</f>
        <v>#REF!</v>
      </c>
    </row>
    <row r="21" spans="1:7" x14ac:dyDescent="0.45">
      <c r="A21" s="5" t="str">
        <f ca="1">Key!B19</f>
        <v>OU_ThwIfEr</v>
      </c>
      <c r="B21" s="5" t="e">
        <f ca="1">VLOOKUP(T_Cnst[[#This Row],[CnstNm]],T_Src[],19,FALSE)</f>
        <v>#REF!</v>
      </c>
      <c r="C21" s="5" t="str">
        <f ca="1">"Const "&amp;T_Cnst[[#This Row],[CnstNm]]</f>
        <v>Const OU_ThwIfEr</v>
      </c>
      <c r="D21" s="5" t="str">
        <f t="shared" si="2"/>
        <v>_$ = "</v>
      </c>
      <c r="E21" s="5" t="e">
        <f ca="1">T_Cnst[[#This Row],[Val]]</f>
        <v>#REF!</v>
      </c>
      <c r="F21" s="5" t="s">
        <v>97</v>
      </c>
      <c r="G21" s="5" t="e">
        <f ca="1">T_Cnst[[#This Row],[P1]]&amp;T_Cnst[[#This Row],[P2]]&amp;T_Cnst[[#This Row],[P3]]&amp;T_Cnst[[#This Row],[P4]]</f>
        <v>#REF!</v>
      </c>
    </row>
    <row r="22" spans="1:7" x14ac:dyDescent="0.45">
      <c r="A22" s="5" t="str">
        <f ca="1">Key!B20</f>
        <v>OS_FldDup</v>
      </c>
      <c r="B22" s="5" t="e">
        <f ca="1">VLOOKUP(T_Cnst[[#This Row],[CnstNm]],T_Src[],19,FALSE)</f>
        <v>#REF!</v>
      </c>
      <c r="C22" s="5" t="str">
        <f ca="1">"Const "&amp;T_Cnst[[#This Row],[CnstNm]]</f>
        <v>Const OS_FldDup</v>
      </c>
      <c r="D22" s="5" t="str">
        <f t="shared" ref="D22:D36" si="3">"_$ = """</f>
        <v>_$ = "</v>
      </c>
      <c r="E22" s="5" t="e">
        <f ca="1">T_Cnst[[#This Row],[Val]]</f>
        <v>#REF!</v>
      </c>
      <c r="F22" s="5" t="s">
        <v>97</v>
      </c>
      <c r="G22" s="5" t="e">
        <f ca="1">T_Cnst[[#This Row],[P1]]&amp;T_Cnst[[#This Row],[P2]]&amp;T_Cnst[[#This Row],[P3]]&amp;T_Cnst[[#This Row],[P4]]</f>
        <v>#REF!</v>
      </c>
    </row>
    <row r="23" spans="1:7" x14ac:dyDescent="0.45">
      <c r="A23" s="5" t="str">
        <f ca="1">Key!B21</f>
        <v>OS_StruDup</v>
      </c>
      <c r="B23" s="5" t="e">
        <f ca="1">VLOOKUP(T_Cnst[[#This Row],[CnstNm]],T_Src[],19,FALSE)</f>
        <v>#REF!</v>
      </c>
      <c r="C23" s="5" t="str">
        <f ca="1">"Const "&amp;T_Cnst[[#This Row],[CnstNm]]</f>
        <v>Const OS_StruDup</v>
      </c>
      <c r="D23" s="5" t="str">
        <f t="shared" si="3"/>
        <v>_$ = "</v>
      </c>
      <c r="E23" s="5" t="e">
        <f ca="1">T_Cnst[[#This Row],[Val]]</f>
        <v>#REF!</v>
      </c>
      <c r="F23" s="5" t="s">
        <v>97</v>
      </c>
      <c r="G23" s="5" t="e">
        <f ca="1">T_Cnst[[#This Row],[P1]]&amp;T_Cnst[[#This Row],[P2]]&amp;T_Cnst[[#This Row],[P3]]&amp;T_Cnst[[#This Row],[P4]]</f>
        <v>#REF!</v>
      </c>
    </row>
    <row r="24" spans="1:7" x14ac:dyDescent="0.45">
      <c r="A24" s="5" t="str">
        <f ca="1">Key!B22</f>
        <v>OS_FldTyEr</v>
      </c>
      <c r="B24" s="5" t="e">
        <f ca="1">VLOOKUP(T_Cnst[[#This Row],[CnstNm]],T_Src[],19,FALSE)</f>
        <v>#REF!</v>
      </c>
      <c r="C24" s="5" t="str">
        <f ca="1">"Const "&amp;T_Cnst[[#This Row],[CnstNm]]</f>
        <v>Const OS_FldTyEr</v>
      </c>
      <c r="D24" s="5" t="str">
        <f t="shared" si="3"/>
        <v>_$ = "</v>
      </c>
      <c r="E24" s="5" t="e">
        <f ca="1">T_Cnst[[#This Row],[Val]]</f>
        <v>#REF!</v>
      </c>
      <c r="F24" s="5" t="s">
        <v>97</v>
      </c>
      <c r="G24" s="5" t="e">
        <f ca="1">T_Cnst[[#This Row],[P1]]&amp;T_Cnst[[#This Row],[P2]]&amp;T_Cnst[[#This Row],[P3]]&amp;T_Cnst[[#This Row],[P4]]</f>
        <v>#REF!</v>
      </c>
    </row>
    <row r="25" spans="1:7" x14ac:dyDescent="0.45">
      <c r="A25" s="5" t="str">
        <f ca="1">Key!B23</f>
        <v>OS_StruExcess</v>
      </c>
      <c r="B25" s="5" t="e">
        <f ca="1">VLOOKUP(T_Cnst[[#This Row],[CnstNm]],T_Src[],19,FALSE)</f>
        <v>#REF!</v>
      </c>
      <c r="C25" s="5" t="str">
        <f ca="1">"Const "&amp;T_Cnst[[#This Row],[CnstNm]]</f>
        <v>Const OS_StruExcess</v>
      </c>
      <c r="D25" s="5" t="str">
        <f t="shared" si="3"/>
        <v>_$ = "</v>
      </c>
      <c r="E25" s="5" t="e">
        <f ca="1">T_Cnst[[#This Row],[Val]]</f>
        <v>#REF!</v>
      </c>
      <c r="F25" s="5" t="s">
        <v>97</v>
      </c>
      <c r="G25" s="5" t="e">
        <f ca="1">T_Cnst[[#This Row],[P1]]&amp;T_Cnst[[#This Row],[P2]]&amp;T_Cnst[[#This Row],[P3]]&amp;T_Cnst[[#This Row],[P4]]</f>
        <v>#REF!</v>
      </c>
    </row>
    <row r="26" spans="1:7" x14ac:dyDescent="0.45">
      <c r="A26" s="5" t="str">
        <f ca="1">Key!B24</f>
        <v>OS_StruInUse</v>
      </c>
      <c r="B26" s="5" t="e">
        <f ca="1">VLOOKUP(T_Cnst[[#This Row],[CnstNm]],T_Src[],19,FALSE)</f>
        <v>#REF!</v>
      </c>
      <c r="C26" s="5" t="str">
        <f ca="1">"Const "&amp;T_Cnst[[#This Row],[CnstNm]]</f>
        <v>Const OS_StruInUse</v>
      </c>
      <c r="D26" s="5" t="str">
        <f t="shared" si="3"/>
        <v>_$ = "</v>
      </c>
      <c r="E26" s="5" t="e">
        <f ca="1">T_Cnst[[#This Row],[Val]]</f>
        <v>#REF!</v>
      </c>
      <c r="F26" s="5" t="s">
        <v>97</v>
      </c>
      <c r="G26" s="5" t="e">
        <f ca="1">T_Cnst[[#This Row],[P1]]&amp;T_Cnst[[#This Row],[P2]]&amp;T_Cnst[[#This Row],[P3]]&amp;T_Cnst[[#This Row],[P4]]</f>
        <v>#REF!</v>
      </c>
    </row>
    <row r="27" spans="1:7" x14ac:dyDescent="0.45">
      <c r="A27" s="5" t="str">
        <f ca="1">Key!B25</f>
        <v>OS_FxFldTyMis</v>
      </c>
      <c r="B27" s="5" t="e">
        <f ca="1">VLOOKUP(T_Cnst[[#This Row],[CnstNm]],T_Src[],19,FALSE)</f>
        <v>#REF!</v>
      </c>
      <c r="C27" s="5" t="str">
        <f ca="1">"Const "&amp;T_Cnst[[#This Row],[CnstNm]]</f>
        <v>Const OS_FxFldTyMis</v>
      </c>
      <c r="D27" s="5" t="str">
        <f t="shared" si="3"/>
        <v>_$ = "</v>
      </c>
      <c r="E27" s="5" t="e">
        <f ca="1">T_Cnst[[#This Row],[Val]]</f>
        <v>#REF!</v>
      </c>
      <c r="F27" s="5" t="s">
        <v>97</v>
      </c>
      <c r="G27" s="5" t="e">
        <f ca="1">T_Cnst[[#This Row],[P1]]&amp;T_Cnst[[#This Row],[P2]]&amp;T_Cnst[[#This Row],[P3]]&amp;T_Cnst[[#This Row],[P4]]</f>
        <v>#REF!</v>
      </c>
    </row>
    <row r="28" spans="1:7" x14ac:dyDescent="0.45">
      <c r="A28" s="5" t="str">
        <f ca="1">Key!B26</f>
        <v>OS_FldMis</v>
      </c>
      <c r="B28" s="5" t="e">
        <f ca="1">VLOOKUP(T_Cnst[[#This Row],[CnstNm]],T_Src[],19,FALSE)</f>
        <v>#REF!</v>
      </c>
      <c r="C28" s="5" t="str">
        <f ca="1">"Const "&amp;T_Cnst[[#This Row],[CnstNm]]</f>
        <v>Const OS_FldMis</v>
      </c>
      <c r="D28" s="5" t="str">
        <f t="shared" si="3"/>
        <v>_$ = "</v>
      </c>
      <c r="E28" s="5" t="e">
        <f ca="1">T_Cnst[[#This Row],[Val]]</f>
        <v>#REF!</v>
      </c>
      <c r="F28" s="5" t="s">
        <v>97</v>
      </c>
      <c r="G28" s="5" t="e">
        <f ca="1">T_Cnst[[#This Row],[P1]]&amp;T_Cnst[[#This Row],[P2]]&amp;T_Cnst[[#This Row],[P3]]&amp;T_Cnst[[#This Row],[P4]]</f>
        <v>#REF!</v>
      </c>
    </row>
    <row r="29" spans="1:7" x14ac:dyDescent="0.45">
      <c r="A29" s="5" t="str">
        <f ca="1">Key!B27</f>
        <v>OS_1</v>
      </c>
      <c r="B29" s="5" t="e">
        <f ca="1">VLOOKUP(T_Cnst[[#This Row],[CnstNm]],T_Src[],19,FALSE)</f>
        <v>#REF!</v>
      </c>
      <c r="C29" s="5" t="str">
        <f ca="1">"Const "&amp;T_Cnst[[#This Row],[CnstNm]]</f>
        <v>Const OS_1</v>
      </c>
      <c r="D29" s="5" t="str">
        <f t="shared" si="3"/>
        <v>_$ = "</v>
      </c>
      <c r="E29" s="5" t="e">
        <f ca="1">T_Cnst[[#This Row],[Val]]</f>
        <v>#REF!</v>
      </c>
      <c r="F29" s="5" t="s">
        <v>97</v>
      </c>
      <c r="G29" s="5" t="e">
        <f ca="1">T_Cnst[[#This Row],[P1]]&amp;T_Cnst[[#This Row],[P2]]&amp;T_Cnst[[#This Row],[P3]]&amp;T_Cnst[[#This Row],[P4]]</f>
        <v>#REF!</v>
      </c>
    </row>
    <row r="30" spans="1:7" x14ac:dyDescent="0.45">
      <c r="A30" s="5" t="str">
        <f ca="1">Key!B28</f>
        <v>OS_2</v>
      </c>
      <c r="B30" s="5" t="e">
        <f ca="1">VLOOKUP(T_Cnst[[#This Row],[CnstNm]],T_Src[],19,FALSE)</f>
        <v>#REF!</v>
      </c>
      <c r="C30" s="5" t="str">
        <f ca="1">"Const "&amp;T_Cnst[[#This Row],[CnstNm]]</f>
        <v>Const OS_2</v>
      </c>
      <c r="D30" s="5" t="str">
        <f t="shared" si="3"/>
        <v>_$ = "</v>
      </c>
      <c r="E30" s="5" t="e">
        <f ca="1">T_Cnst[[#This Row],[Val]]</f>
        <v>#REF!</v>
      </c>
      <c r="F30" s="5" t="s">
        <v>97</v>
      </c>
      <c r="G30" s="5" t="e">
        <f ca="1">T_Cnst[[#This Row],[P1]]&amp;T_Cnst[[#This Row],[P2]]&amp;T_Cnst[[#This Row],[P3]]&amp;T_Cnst[[#This Row],[P4]]</f>
        <v>#REF!</v>
      </c>
    </row>
    <row r="31" spans="1:7" x14ac:dyDescent="0.45">
      <c r="A31" s="5" t="str">
        <f ca="1">Key!B29</f>
        <v>OS_All</v>
      </c>
      <c r="B31" s="5" t="e">
        <f ca="1">VLOOKUP(T_Cnst[[#This Row],[CnstNm]],T_Src[],19,FALSE)</f>
        <v>#REF!</v>
      </c>
      <c r="C31" s="5" t="str">
        <f ca="1">"Const "&amp;T_Cnst[[#This Row],[CnstNm]]</f>
        <v>Const OS_All</v>
      </c>
      <c r="D31" s="5" t="str">
        <f t="shared" si="3"/>
        <v>_$ = "</v>
      </c>
      <c r="E31" s="5" t="e">
        <f ca="1">T_Cnst[[#This Row],[Val]]</f>
        <v>#REF!</v>
      </c>
      <c r="F31" s="5" t="s">
        <v>97</v>
      </c>
      <c r="G31" s="5" t="e">
        <f ca="1">T_Cnst[[#This Row],[P1]]&amp;T_Cnst[[#This Row],[P2]]&amp;T_Cnst[[#This Row],[P3]]&amp;T_Cnst[[#This Row],[P4]]</f>
        <v>#REF!</v>
      </c>
    </row>
    <row r="32" spans="1:7" x14ac:dyDescent="0.45">
      <c r="A32" s="5" t="str">
        <f ca="1">Key!B30</f>
        <v>OX_StruNDef</v>
      </c>
      <c r="B32" s="5" t="e">
        <f ca="1">VLOOKUP(T_Cnst[[#This Row],[CnstNm]],T_Src[],19,FALSE)</f>
        <v>#REF!</v>
      </c>
      <c r="C32" s="5" t="str">
        <f ca="1">"Const "&amp;T_Cnst[[#This Row],[CnstNm]]</f>
        <v>Const OX_StruNDef</v>
      </c>
      <c r="D32" s="5" t="str">
        <f t="shared" si="3"/>
        <v>_$ = "</v>
      </c>
      <c r="E32" s="5" t="e">
        <f ca="1">T_Cnst[[#This Row],[Val]]</f>
        <v>#REF!</v>
      </c>
      <c r="F32" s="5" t="s">
        <v>97</v>
      </c>
      <c r="G32" s="5" t="e">
        <f ca="1">T_Cnst[[#This Row],[P1]]&amp;T_Cnst[[#This Row],[P2]]&amp;T_Cnst[[#This Row],[P3]]&amp;T_Cnst[[#This Row],[P4]]</f>
        <v>#REF!</v>
      </c>
    </row>
    <row r="33" spans="1:7" x14ac:dyDescent="0.45">
      <c r="A33" s="5" t="str">
        <f ca="1">Key!B31</f>
        <v>OX_FxtDup</v>
      </c>
      <c r="B33" s="5" t="e">
        <f ca="1">VLOOKUP(T_Cnst[[#This Row],[CnstNm]],T_Src[],19,FALSE)</f>
        <v>#REF!</v>
      </c>
      <c r="C33" s="5" t="str">
        <f ca="1">"Const "&amp;T_Cnst[[#This Row],[CnstNm]]</f>
        <v>Const OX_FxtDup</v>
      </c>
      <c r="D33" s="5" t="str">
        <f t="shared" si="3"/>
        <v>_$ = "</v>
      </c>
      <c r="E33" s="5" t="e">
        <f ca="1">T_Cnst[[#This Row],[Val]]</f>
        <v>#REF!</v>
      </c>
      <c r="F33" s="5" t="s">
        <v>97</v>
      </c>
      <c r="G33" s="5" t="e">
        <f ca="1">T_Cnst[[#This Row],[P1]]&amp;T_Cnst[[#This Row],[P2]]&amp;T_Cnst[[#This Row],[P3]]&amp;T_Cnst[[#This Row],[P4]]</f>
        <v>#REF!</v>
      </c>
    </row>
    <row r="34" spans="1:7" x14ac:dyDescent="0.45">
      <c r="A34" s="5" t="str">
        <f ca="1">Key!B32</f>
        <v>OX_FxtNDef</v>
      </c>
      <c r="B34" s="5" t="e">
        <f ca="1">VLOOKUP(T_Cnst[[#This Row],[CnstNm]],T_Src[],19,FALSE)</f>
        <v>#REF!</v>
      </c>
      <c r="C34" s="5" t="str">
        <f ca="1">"Const "&amp;T_Cnst[[#This Row],[CnstNm]]</f>
        <v>Const OX_FxtNDef</v>
      </c>
      <c r="D34" s="5" t="str">
        <f t="shared" si="3"/>
        <v>_$ = "</v>
      </c>
      <c r="E34" s="5" t="e">
        <f ca="1">T_Cnst[[#This Row],[Val]]</f>
        <v>#REF!</v>
      </c>
      <c r="F34" s="5" t="s">
        <v>97</v>
      </c>
      <c r="G34" s="5" t="e">
        <f ca="1">T_Cnst[[#This Row],[P1]]&amp;T_Cnst[[#This Row],[P2]]&amp;T_Cnst[[#This Row],[P3]]&amp;T_Cnst[[#This Row],[P4]]</f>
        <v>#REF!</v>
      </c>
    </row>
    <row r="35" spans="1:7" x14ac:dyDescent="0.45">
      <c r="A35" s="5" t="str">
        <f ca="1">Key!B33</f>
        <v>OX_All</v>
      </c>
      <c r="B35" s="5" t="e">
        <f ca="1">VLOOKUP(T_Cnst[[#This Row],[CnstNm]],T_Src[],19,FALSE)</f>
        <v>#REF!</v>
      </c>
      <c r="C35" s="5" t="str">
        <f ca="1">"Const "&amp;T_Cnst[[#This Row],[CnstNm]]</f>
        <v>Const OX_All</v>
      </c>
      <c r="D35" s="5" t="str">
        <f t="shared" si="3"/>
        <v>_$ = "</v>
      </c>
      <c r="E35" s="5" t="e">
        <f ca="1">T_Cnst[[#This Row],[Val]]</f>
        <v>#REF!</v>
      </c>
      <c r="F35" s="5" t="s">
        <v>97</v>
      </c>
      <c r="G35" s="5" t="e">
        <f ca="1">T_Cnst[[#This Row],[P1]]&amp;T_Cnst[[#This Row],[P2]]&amp;T_Cnst[[#This Row],[P3]]&amp;T_Cnst[[#This Row],[P4]]</f>
        <v>#REF!</v>
      </c>
    </row>
    <row r="36" spans="1:7" x14ac:dyDescent="0.45">
      <c r="A36" s="5" t="str">
        <f ca="1">Key!B34</f>
        <v>OB_StruNDef</v>
      </c>
      <c r="B36" s="5" t="e">
        <f ca="1">VLOOKUP(T_Cnst[[#This Row],[CnstNm]],T_Src[],19,FALSE)</f>
        <v>#REF!</v>
      </c>
      <c r="C36" s="5" t="str">
        <f ca="1">"Const "&amp;T_Cnst[[#This Row],[CnstNm]]</f>
        <v>Const OB_StruNDef</v>
      </c>
      <c r="D36" s="5" t="str">
        <f t="shared" si="3"/>
        <v>_$ = "</v>
      </c>
      <c r="E36" s="5" t="e">
        <f ca="1">T_Cnst[[#This Row],[Val]]</f>
        <v>#REF!</v>
      </c>
      <c r="F36" s="5" t="s">
        <v>97</v>
      </c>
      <c r="G36" s="5" t="e">
        <f ca="1">T_Cnst[[#This Row],[P1]]&amp;T_Cnst[[#This Row],[P2]]&amp;T_Cnst[[#This Row],[P3]]&amp;T_Cnst[[#This Row],[P4]]</f>
        <v>#REF!</v>
      </c>
    </row>
    <row r="37" spans="1:7" x14ac:dyDescent="0.45">
      <c r="A37" s="5" t="str">
        <f ca="1">Key!B35</f>
        <v>OB_FbnNDef</v>
      </c>
      <c r="B37" s="5" t="e">
        <f ca="1">VLOOKUP(T_Cnst[[#This Row],[CnstNm]],T_Src[],19,FALSE)</f>
        <v>#REF!</v>
      </c>
      <c r="C37" s="5" t="str">
        <f ca="1">"Const "&amp;T_Cnst[[#This Row],[CnstNm]]</f>
        <v>Const OB_FbnNDef</v>
      </c>
      <c r="D37" s="5" t="str">
        <f t="shared" ref="D37:D44" si="4">"_$ = """</f>
        <v>_$ = "</v>
      </c>
      <c r="E37" s="5" t="e">
        <f ca="1">T_Cnst[[#This Row],[Val]]</f>
        <v>#REF!</v>
      </c>
      <c r="F37" s="5" t="s">
        <v>97</v>
      </c>
      <c r="G37" s="5" t="e">
        <f ca="1">T_Cnst[[#This Row],[P1]]&amp;T_Cnst[[#This Row],[P2]]&amp;T_Cnst[[#This Row],[P3]]&amp;T_Cnst[[#This Row],[P4]]</f>
        <v>#REF!</v>
      </c>
    </row>
    <row r="38" spans="1:7" x14ac:dyDescent="0.45">
      <c r="A38" s="5" t="str">
        <f ca="1">Key!B36</f>
        <v>OB_FbtMis</v>
      </c>
      <c r="B38" s="5" t="e">
        <f ca="1">VLOOKUP(T_Cnst[[#This Row],[CnstNm]],T_Src[],19,FALSE)</f>
        <v>#REF!</v>
      </c>
      <c r="C38" s="5" t="str">
        <f ca="1">"Const "&amp;T_Cnst[[#This Row],[CnstNm]]</f>
        <v>Const OB_FbtMis</v>
      </c>
      <c r="D38" s="5" t="str">
        <f t="shared" si="4"/>
        <v>_$ = "</v>
      </c>
      <c r="E38" s="5" t="e">
        <f ca="1">T_Cnst[[#This Row],[Val]]</f>
        <v>#REF!</v>
      </c>
      <c r="F38" s="5" t="s">
        <v>97</v>
      </c>
      <c r="G38" s="5" t="e">
        <f ca="1">T_Cnst[[#This Row],[P1]]&amp;T_Cnst[[#This Row],[P2]]&amp;T_Cnst[[#This Row],[P3]]&amp;T_Cnst[[#This Row],[P4]]</f>
        <v>#REF!</v>
      </c>
    </row>
    <row r="39" spans="1:7" x14ac:dyDescent="0.45">
      <c r="A39" s="5" t="str">
        <f ca="1">Key!B37</f>
        <v>OB_All</v>
      </c>
      <c r="B39" s="5" t="e">
        <f ca="1">VLOOKUP(T_Cnst[[#This Row],[CnstNm]],T_Src[],19,FALSE)</f>
        <v>#REF!</v>
      </c>
      <c r="C39" s="5" t="str">
        <f ca="1">"Const "&amp;T_Cnst[[#This Row],[CnstNm]]</f>
        <v>Const OB_All</v>
      </c>
      <c r="D39" s="5" t="str">
        <f t="shared" si="4"/>
        <v>_$ = "</v>
      </c>
      <c r="E39" s="5" t="e">
        <f ca="1">T_Cnst[[#This Row],[Val]]</f>
        <v>#REF!</v>
      </c>
      <c r="F39" s="5" t="s">
        <v>97</v>
      </c>
      <c r="G39" s="5" t="e">
        <f ca="1">T_Cnst[[#This Row],[P1]]&amp;T_Cnst[[#This Row],[P2]]&amp;T_Cnst[[#This Row],[P3]]&amp;T_Cnst[[#This Row],[P4]]</f>
        <v>#REF!</v>
      </c>
    </row>
    <row r="40" spans="1:7" x14ac:dyDescent="0.45">
      <c r="A40" s="5" t="str">
        <f ca="1">Key!B38</f>
        <v>OW_TblDup</v>
      </c>
      <c r="B40" s="5" t="e">
        <f ca="1">VLOOKUP(T_Cnst[[#This Row],[CnstNm]],T_Src[],19,FALSE)</f>
        <v>#REF!</v>
      </c>
      <c r="C40" s="5" t="str">
        <f ca="1">"Const "&amp;T_Cnst[[#This Row],[CnstNm]]</f>
        <v>Const OW_TblDup</v>
      </c>
      <c r="D40" s="5" t="str">
        <f t="shared" si="4"/>
        <v>_$ = "</v>
      </c>
      <c r="E40" s="5" t="e">
        <f ca="1">T_Cnst[[#This Row],[Val]]</f>
        <v>#REF!</v>
      </c>
      <c r="F40" s="5" t="s">
        <v>97</v>
      </c>
      <c r="G40" s="5" t="e">
        <f ca="1">T_Cnst[[#This Row],[P1]]&amp;T_Cnst[[#This Row],[P2]]&amp;T_Cnst[[#This Row],[P3]]&amp;T_Cnst[[#This Row],[P4]]</f>
        <v>#REF!</v>
      </c>
    </row>
    <row r="41" spans="1:7" x14ac:dyDescent="0.45">
      <c r="A41" s="5" t="str">
        <f ca="1">Key!B39</f>
        <v>OW_TblNDef</v>
      </c>
      <c r="B41" s="5" t="e">
        <f ca="1">VLOOKUP(T_Cnst[[#This Row],[CnstNm]],T_Src[],19,FALSE)</f>
        <v>#REF!</v>
      </c>
      <c r="C41" s="5" t="str">
        <f ca="1">"Const "&amp;T_Cnst[[#This Row],[CnstNm]]</f>
        <v>Const OW_TblNDef</v>
      </c>
      <c r="D41" s="5" t="str">
        <f t="shared" si="4"/>
        <v>_$ = "</v>
      </c>
      <c r="E41" s="5" t="e">
        <f ca="1">T_Cnst[[#This Row],[Val]]</f>
        <v>#REF!</v>
      </c>
      <c r="F41" s="5" t="s">
        <v>97</v>
      </c>
      <c r="G41" s="5" t="e">
        <f ca="1">T_Cnst[[#This Row],[P1]]&amp;T_Cnst[[#This Row],[P2]]&amp;T_Cnst[[#This Row],[P3]]&amp;T_Cnst[[#This Row],[P4]]</f>
        <v>#REF!</v>
      </c>
    </row>
    <row r="42" spans="1:7" x14ac:dyDescent="0.45">
      <c r="A42" s="5" t="str">
        <f ca="1">Key!B40</f>
        <v>OW_TblExcess</v>
      </c>
      <c r="B42" s="5" t="e">
        <f ca="1">VLOOKUP(T_Cnst[[#This Row],[CnstNm]],T_Src[],19,FALSE)</f>
        <v>#REF!</v>
      </c>
      <c r="C42" s="5" t="str">
        <f ca="1">"Const "&amp;T_Cnst[[#This Row],[CnstNm]]</f>
        <v>Const OW_TblExcess</v>
      </c>
      <c r="D42" s="5" t="str">
        <f t="shared" si="4"/>
        <v>_$ = "</v>
      </c>
      <c r="E42" s="5" t="e">
        <f ca="1">T_Cnst[[#This Row],[Val]]</f>
        <v>#REF!</v>
      </c>
      <c r="F42" s="5" t="s">
        <v>97</v>
      </c>
      <c r="G42" s="5" t="e">
        <f ca="1">T_Cnst[[#This Row],[P1]]&amp;T_Cnst[[#This Row],[P2]]&amp;T_Cnst[[#This Row],[P3]]&amp;T_Cnst[[#This Row],[P4]]</f>
        <v>#REF!</v>
      </c>
    </row>
    <row r="43" spans="1:7" x14ac:dyDescent="0.45">
      <c r="A43" s="5" t="str">
        <f ca="1">Key!B41</f>
        <v>OW_All</v>
      </c>
      <c r="B43" s="5" t="e">
        <f ca="1">VLOOKUP(T_Cnst[[#This Row],[CnstNm]],T_Src[],19,FALSE)</f>
        <v>#REF!</v>
      </c>
      <c r="C43" s="5" t="str">
        <f ca="1">"Const "&amp;T_Cnst[[#This Row],[CnstNm]]</f>
        <v>Const OW_All</v>
      </c>
      <c r="D43" s="5" t="str">
        <f t="shared" si="4"/>
        <v>_$ = "</v>
      </c>
      <c r="E43" s="5" t="e">
        <f ca="1">T_Cnst[[#This Row],[Val]]</f>
        <v>#REF!</v>
      </c>
      <c r="F43" s="5" t="s">
        <v>97</v>
      </c>
      <c r="G43" s="5" t="e">
        <f ca="1">T_Cnst[[#This Row],[P1]]&amp;T_Cnst[[#This Row],[P2]]&amp;T_Cnst[[#This Row],[P3]]&amp;T_Cnst[[#This Row],[P4]]</f>
        <v>#REF!</v>
      </c>
    </row>
    <row r="44" spans="1:7" x14ac:dyDescent="0.45">
      <c r="A44" s="5" t="str">
        <f ca="1">Key!B42</f>
        <v>OEr</v>
      </c>
      <c r="B44" s="5" t="e">
        <f ca="1">VLOOKUP(T_Cnst[[#This Row],[CnstNm]],T_Src[],19,FALSE)</f>
        <v>#REF!</v>
      </c>
      <c r="C44" s="5" t="str">
        <f ca="1">"Const "&amp;T_Cnst[[#This Row],[CnstNm]]</f>
        <v>Const OEr</v>
      </c>
      <c r="D44" s="5" t="str">
        <f t="shared" si="4"/>
        <v>_$ = "</v>
      </c>
      <c r="E44" s="5" t="e">
        <f ca="1">T_Cnst[[#This Row],[Val]]</f>
        <v>#REF!</v>
      </c>
      <c r="F44" s="5" t="s">
        <v>97</v>
      </c>
      <c r="G44" s="5" t="e">
        <f ca="1">T_Cnst[[#This Row],[P1]]&amp;T_Cnst[[#This Row],[P2]]&amp;T_Cnst[[#This Row],[P3]]&amp;T_Cnst[[#This Row],[P4]]</f>
        <v>#REF!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E76E1-2312-4249-A62D-33DAAE13ED73}">
  <sheetPr codeName="WsZZ">
    <outlinePr summaryRight="0"/>
  </sheetPr>
  <dimension ref="A1:J44"/>
  <sheetViews>
    <sheetView topLeftCell="A39" workbookViewId="0">
      <selection activeCell="J4" sqref="J4"/>
    </sheetView>
  </sheetViews>
  <sheetFormatPr defaultRowHeight="14.5" outlineLevelCol="1" x14ac:dyDescent="0.35"/>
  <cols>
    <col min="1" max="1" width="15.6328125" bestFit="1" customWidth="1" collapsed="1"/>
    <col min="2" max="2" width="39.36328125" hidden="1" customWidth="1" outlineLevel="1"/>
    <col min="3" max="4" width="8.7265625" hidden="1" customWidth="1" outlineLevel="1"/>
    <col min="5" max="5" width="11.54296875" hidden="1" customWidth="1" outlineLevel="1"/>
    <col min="6" max="6" width="24.08984375" style="3" hidden="1" customWidth="1" outlineLevel="1"/>
    <col min="7" max="7" width="8.7265625" hidden="1" customWidth="1" outlineLevel="1"/>
    <col min="8" max="8" width="10.54296875" hidden="1" customWidth="1" outlineLevel="1"/>
    <col min="9" max="9" width="8.7265625" hidden="1" customWidth="1" outlineLevel="1"/>
    <col min="10" max="10" width="70.1796875" style="3" bestFit="1" customWidth="1"/>
  </cols>
  <sheetData>
    <row r="1" spans="1:10" x14ac:dyDescent="0.35">
      <c r="J1" s="32"/>
    </row>
    <row r="2" spans="1:10" x14ac:dyDescent="0.35">
      <c r="A2" t="s">
        <v>98</v>
      </c>
      <c r="B2" t="s">
        <v>104</v>
      </c>
      <c r="C2" t="s">
        <v>111</v>
      </c>
      <c r="D2" t="s">
        <v>115</v>
      </c>
      <c r="E2" t="s">
        <v>136</v>
      </c>
      <c r="F2" s="3" t="s">
        <v>1</v>
      </c>
      <c r="G2" t="s">
        <v>2</v>
      </c>
      <c r="H2" t="s">
        <v>3</v>
      </c>
      <c r="I2" t="s">
        <v>4</v>
      </c>
      <c r="J2" s="3" t="s">
        <v>14</v>
      </c>
    </row>
    <row r="3" spans="1:10" x14ac:dyDescent="0.35">
      <c r="A3" t="str">
        <f ca="1">Key!B2</f>
        <v>LnkImpSrc</v>
      </c>
      <c r="B3" t="str">
        <f t="shared" ref="B3:B41" ca="1" si="0">"Private Sub ZZ_B_"&amp;A3&amp;"():"</f>
        <v>Private Sub ZZ_B_LnkImpSrc():</v>
      </c>
      <c r="C3">
        <f ca="1">LEN(T_ZZ[[#This Row],[1]])</f>
        <v>29</v>
      </c>
      <c r="D3">
        <f ca="1">T_ZZ[[#Totals],[1Len]]-T_ZZ[[#This Row],[1Len]]</f>
        <v>5</v>
      </c>
      <c r="E3" t="str">
        <f ca="1">REPT(" ",T_ZZ[[#This Row],[1Filler]]+1)</f>
        <v xml:space="preserve">      </v>
      </c>
      <c r="F3" s="3" t="str">
        <f ca="1">"BrwDrs Y_"&amp;T_ZZ[[#This Row],[Key]]&amp;":"</f>
        <v>BrwDrs Y_LnkImpSrc:</v>
      </c>
      <c r="G3" s="4">
        <f ca="1">LEN(T_ZZ[[#This Row],[Column5]])</f>
        <v>19</v>
      </c>
      <c r="H3" s="4">
        <f ca="1">T_ZZ[[#Totals],[Column6]]-T_ZZ[[#This Row],[Column6]]</f>
        <v>5</v>
      </c>
      <c r="I3" s="4" t="str">
        <f ca="1">REPT(" ",T_ZZ[[#This Row],[Column7]]+1)</f>
        <v xml:space="preserve">      </v>
      </c>
      <c r="J3" s="3" t="str">
        <f ca="1">T_ZZ[[#This Row],[1]]&amp;T_ZZ[[#This Row],[1Spc]]&amp;T_ZZ[[#This Row],[Column5]]&amp;T_ZZ[[#This Row],[Column8]]&amp;"End Sub"</f>
        <v>Private Sub ZZ_B_LnkImpSrc():      BrwDrs Y_LnkImpSrc:      End Sub</v>
      </c>
    </row>
    <row r="4" spans="1:10" x14ac:dyDescent="0.35">
      <c r="A4" t="str">
        <f ca="1">Key!B3</f>
        <v>IInpFil</v>
      </c>
      <c r="B4" t="str">
        <f t="shared" ca="1" si="0"/>
        <v>Private Sub ZZ_B_IInpFil():</v>
      </c>
      <c r="C4">
        <f ca="1">LEN(T_ZZ[[#This Row],[1]])</f>
        <v>27</v>
      </c>
      <c r="D4">
        <f ca="1">T_ZZ[[#Totals],[1Len]]-T_ZZ[[#This Row],[1Len]]</f>
        <v>7</v>
      </c>
      <c r="E4" t="str">
        <f ca="1">REPT(" ",T_ZZ[[#This Row],[1Filler]]+1)</f>
        <v xml:space="preserve">        </v>
      </c>
      <c r="F4" s="3" t="str">
        <f ca="1">"BrwDrs Y_"&amp;T_ZZ[[#This Row],[Key]]&amp;":"</f>
        <v>BrwDrs Y_IInpFil:</v>
      </c>
      <c r="G4" s="4">
        <f ca="1">LEN(T_ZZ[[#This Row],[Column5]])</f>
        <v>17</v>
      </c>
      <c r="H4" s="4">
        <f ca="1">T_ZZ[[#Totals],[Column6]]-T_ZZ[[#This Row],[Column6]]</f>
        <v>7</v>
      </c>
      <c r="I4" s="4" t="str">
        <f ca="1">REPT(" ",T_ZZ[[#This Row],[Column7]]+1)</f>
        <v xml:space="preserve">        </v>
      </c>
      <c r="J4" s="3" t="str">
        <f ca="1">T_ZZ[[#This Row],[1]]&amp;T_ZZ[[#This Row],[1Spc]]&amp;T_ZZ[[#This Row],[Column5]]&amp;T_ZZ[[#This Row],[Column8]]&amp;"End Sub"</f>
        <v>Private Sub ZZ_B_IInpFil():        BrwDrs Y_IInpFil:        End Sub</v>
      </c>
    </row>
    <row r="5" spans="1:10" x14ac:dyDescent="0.35">
      <c r="A5" t="str">
        <f ca="1">Key!B4</f>
        <v>ILnkImp</v>
      </c>
      <c r="B5" t="str">
        <f t="shared" ca="1" si="0"/>
        <v>Private Sub ZZ_B_ILnkImp():</v>
      </c>
      <c r="C5">
        <f ca="1">LEN(T_ZZ[[#This Row],[1]])</f>
        <v>27</v>
      </c>
      <c r="D5">
        <f ca="1">T_ZZ[[#Totals],[1Len]]-T_ZZ[[#This Row],[1Len]]</f>
        <v>7</v>
      </c>
      <c r="E5" t="str">
        <f ca="1">REPT(" ",T_ZZ[[#This Row],[1Filler]]+1)</f>
        <v xml:space="preserve">        </v>
      </c>
      <c r="F5" s="3" t="str">
        <f ca="1">"BrwDrs Y_"&amp;T_ZZ[[#This Row],[Key]]&amp;":"</f>
        <v>BrwDrs Y_ILnkImp:</v>
      </c>
      <c r="G5" s="4">
        <f ca="1">LEN(T_ZZ[[#This Row],[Column5]])</f>
        <v>17</v>
      </c>
      <c r="H5" s="4">
        <f ca="1">T_ZZ[[#Totals],[Column6]]-T_ZZ[[#This Row],[Column6]]</f>
        <v>7</v>
      </c>
      <c r="I5" s="4" t="str">
        <f ca="1">REPT(" ",T_ZZ[[#This Row],[Column7]]+1)</f>
        <v xml:space="preserve">        </v>
      </c>
      <c r="J5" s="3" t="str">
        <f ca="1">T_ZZ[[#This Row],[1]]&amp;T_ZZ[[#This Row],[1Spc]]&amp;T_ZZ[[#This Row],[Column5]]&amp;T_ZZ[[#This Row],[Column8]]&amp;"End Sub"</f>
        <v>Private Sub ZZ_B_ILnkImp():        BrwDrs Y_ILnkImp:        End Sub</v>
      </c>
    </row>
    <row r="6" spans="1:10" x14ac:dyDescent="0.35">
      <c r="A6" t="str">
        <f ca="1">Key!B5</f>
        <v>JStru</v>
      </c>
      <c r="B6" t="str">
        <f t="shared" ca="1" si="0"/>
        <v>Private Sub ZZ_B_JStru():</v>
      </c>
      <c r="C6">
        <f ca="1">LEN(T_ZZ[[#This Row],[1]])</f>
        <v>25</v>
      </c>
      <c r="D6">
        <f ca="1">T_ZZ[[#Totals],[1Len]]-T_ZZ[[#This Row],[1Len]]</f>
        <v>9</v>
      </c>
      <c r="E6" t="str">
        <f ca="1">REPT(" ",T_ZZ[[#This Row],[1Filler]]+1)</f>
        <v xml:space="preserve">          </v>
      </c>
      <c r="F6" s="3" t="str">
        <f ca="1">"BrwDrs Y_"&amp;T_ZZ[[#This Row],[Key]]&amp;":"</f>
        <v>BrwDrs Y_JStru:</v>
      </c>
      <c r="G6" s="4">
        <f ca="1">LEN(T_ZZ[[#This Row],[Column5]])</f>
        <v>15</v>
      </c>
      <c r="H6" s="4">
        <f ca="1">T_ZZ[[#Totals],[Column6]]-T_ZZ[[#This Row],[Column6]]</f>
        <v>9</v>
      </c>
      <c r="I6" s="4" t="str">
        <f ca="1">REPT(" ",T_ZZ[[#This Row],[Column7]]+1)</f>
        <v xml:space="preserve">          </v>
      </c>
      <c r="J6" s="3" t="str">
        <f ca="1">T_ZZ[[#This Row],[1]]&amp;T_ZZ[[#This Row],[1Spc]]&amp;T_ZZ[[#This Row],[Column5]]&amp;T_ZZ[[#This Row],[Column8]]&amp;"End Sub"</f>
        <v>Private Sub ZZ_B_JStru():          BrwDrs Y_JStru:          End Sub</v>
      </c>
    </row>
    <row r="7" spans="1:10" x14ac:dyDescent="0.35">
      <c r="A7" t="str">
        <f ca="1">Key!B6</f>
        <v>JStruF</v>
      </c>
      <c r="B7" t="str">
        <f t="shared" ca="1" si="0"/>
        <v>Private Sub ZZ_B_JStruF():</v>
      </c>
      <c r="C7">
        <f ca="1">LEN(T_ZZ[[#This Row],[1]])</f>
        <v>26</v>
      </c>
      <c r="D7">
        <f ca="1">T_ZZ[[#Totals],[1Len]]-T_ZZ[[#This Row],[1Len]]</f>
        <v>8</v>
      </c>
      <c r="E7" t="str">
        <f ca="1">REPT(" ",T_ZZ[[#This Row],[1Filler]]+1)</f>
        <v xml:space="preserve">         </v>
      </c>
      <c r="F7" s="3" t="str">
        <f ca="1">"BrwDrs Y_"&amp;T_ZZ[[#This Row],[Key]]&amp;":"</f>
        <v>BrwDrs Y_JStruF:</v>
      </c>
      <c r="G7" s="4">
        <f ca="1">LEN(T_ZZ[[#This Row],[Column5]])</f>
        <v>16</v>
      </c>
      <c r="H7" s="4">
        <f ca="1">T_ZZ[[#Totals],[Column6]]-T_ZZ[[#This Row],[Column6]]</f>
        <v>8</v>
      </c>
      <c r="I7" s="4" t="str">
        <f ca="1">REPT(" ",T_ZZ[[#This Row],[Column7]]+1)</f>
        <v xml:space="preserve">         </v>
      </c>
      <c r="J7" s="3" t="str">
        <f ca="1">T_ZZ[[#This Row],[1]]&amp;T_ZZ[[#This Row],[1Spc]]&amp;T_ZZ[[#This Row],[Column5]]&amp;T_ZZ[[#This Row],[Column8]]&amp;"End Sub"</f>
        <v>Private Sub ZZ_B_JStruF():         BrwDrs Y_JStruF:         End Sub</v>
      </c>
    </row>
    <row r="8" spans="1:10" x14ac:dyDescent="0.35">
      <c r="A8" t="str">
        <f ca="1">Key!B7</f>
        <v>JFxTbl</v>
      </c>
      <c r="B8" t="str">
        <f t="shared" ca="1" si="0"/>
        <v>Private Sub ZZ_B_JFxTbl():</v>
      </c>
      <c r="C8">
        <f ca="1">LEN(T_ZZ[[#This Row],[1]])</f>
        <v>26</v>
      </c>
      <c r="D8">
        <f ca="1">T_ZZ[[#Totals],[1Len]]-T_ZZ[[#This Row],[1Len]]</f>
        <v>8</v>
      </c>
      <c r="E8" t="str">
        <f ca="1">REPT(" ",T_ZZ[[#This Row],[1Filler]]+1)</f>
        <v xml:space="preserve">         </v>
      </c>
      <c r="F8" s="3" t="str">
        <f ca="1">"BrwDrs Y_"&amp;T_ZZ[[#This Row],[Key]]&amp;":"</f>
        <v>BrwDrs Y_JFxTbl:</v>
      </c>
      <c r="G8" s="4">
        <f ca="1">LEN(T_ZZ[[#This Row],[Column5]])</f>
        <v>16</v>
      </c>
      <c r="H8" s="4">
        <f ca="1">T_ZZ[[#Totals],[Column6]]-T_ZZ[[#This Row],[Column6]]</f>
        <v>8</v>
      </c>
      <c r="I8" s="4" t="str">
        <f ca="1">REPT(" ",T_ZZ[[#This Row],[Column7]]+1)</f>
        <v xml:space="preserve">         </v>
      </c>
      <c r="J8" s="3" t="str">
        <f ca="1">T_ZZ[[#This Row],[1]]&amp;T_ZZ[[#This Row],[1Spc]]&amp;T_ZZ[[#This Row],[Column5]]&amp;T_ZZ[[#This Row],[Column8]]&amp;"End Sub"</f>
        <v>Private Sub ZZ_B_JFxTbl():         BrwDrs Y_JFxTbl:         End Sub</v>
      </c>
    </row>
    <row r="9" spans="1:10" x14ac:dyDescent="0.35">
      <c r="A9" t="str">
        <f ca="1">Key!B8</f>
        <v>JFbTbl</v>
      </c>
      <c r="B9" t="str">
        <f t="shared" ca="1" si="0"/>
        <v>Private Sub ZZ_B_JFbTbl():</v>
      </c>
      <c r="C9">
        <f ca="1">LEN(T_ZZ[[#This Row],[1]])</f>
        <v>26</v>
      </c>
      <c r="D9">
        <f ca="1">T_ZZ[[#Totals],[1Len]]-T_ZZ[[#This Row],[1Len]]</f>
        <v>8</v>
      </c>
      <c r="E9" t="str">
        <f ca="1">REPT(" ",T_ZZ[[#This Row],[1Filler]]+1)</f>
        <v xml:space="preserve">         </v>
      </c>
      <c r="F9" s="3" t="str">
        <f ca="1">"BrwDrs Y_"&amp;T_ZZ[[#This Row],[Key]]&amp;":"</f>
        <v>BrwDrs Y_JFbTbl:</v>
      </c>
      <c r="G9" s="4">
        <f ca="1">LEN(T_ZZ[[#This Row],[Column5]])</f>
        <v>16</v>
      </c>
      <c r="H9" s="4">
        <f ca="1">T_ZZ[[#Totals],[Column6]]-T_ZZ[[#This Row],[Column6]]</f>
        <v>8</v>
      </c>
      <c r="I9" s="4" t="str">
        <f ca="1">REPT(" ",T_ZZ[[#This Row],[Column7]]+1)</f>
        <v xml:space="preserve">         </v>
      </c>
      <c r="J9" s="3" t="str">
        <f ca="1">T_ZZ[[#This Row],[1]]&amp;T_ZZ[[#This Row],[1Spc]]&amp;T_ZZ[[#This Row],[Column5]]&amp;T_ZZ[[#This Row],[Column8]]&amp;"End Sub"</f>
        <v>Private Sub ZZ_B_JFbTbl():         BrwDrs Y_JFbTbl:         End Sub</v>
      </c>
    </row>
    <row r="10" spans="1:10" x14ac:dyDescent="0.35">
      <c r="A10" t="str">
        <f ca="1">Key!B9</f>
        <v>JTblWh</v>
      </c>
      <c r="B10" t="str">
        <f t="shared" ca="1" si="0"/>
        <v>Private Sub ZZ_B_JTblWh():</v>
      </c>
      <c r="C10">
        <f ca="1">LEN(T_ZZ[[#This Row],[1]])</f>
        <v>26</v>
      </c>
      <c r="D10">
        <f ca="1">T_ZZ[[#Totals],[1Len]]-T_ZZ[[#This Row],[1Len]]</f>
        <v>8</v>
      </c>
      <c r="E10" t="str">
        <f ca="1">REPT(" ",T_ZZ[[#This Row],[1Filler]]+1)</f>
        <v xml:space="preserve">         </v>
      </c>
      <c r="F10" s="3" t="str">
        <f ca="1">"BrwDrs Y_"&amp;T_ZZ[[#This Row],[Key]]&amp;":"</f>
        <v>BrwDrs Y_JTblWh:</v>
      </c>
      <c r="G10" s="4">
        <f ca="1">LEN(T_ZZ[[#This Row],[Column5]])</f>
        <v>16</v>
      </c>
      <c r="H10" s="4">
        <f ca="1">T_ZZ[[#Totals],[Column6]]-T_ZZ[[#This Row],[Column6]]</f>
        <v>8</v>
      </c>
      <c r="I10" s="4" t="str">
        <f ca="1">REPT(" ",T_ZZ[[#This Row],[Column7]]+1)</f>
        <v xml:space="preserve">         </v>
      </c>
      <c r="J10" s="3" t="str">
        <f ca="1">T_ZZ[[#This Row],[1]]&amp;T_ZZ[[#This Row],[1Spc]]&amp;T_ZZ[[#This Row],[Column5]]&amp;T_ZZ[[#This Row],[Column8]]&amp;"End Sub"</f>
        <v>Private Sub ZZ_B_JTblWh():         BrwDrs Y_JTblWh:         End Sub</v>
      </c>
    </row>
    <row r="11" spans="1:10" x14ac:dyDescent="0.35">
      <c r="A11" t="str">
        <f ca="1">Key!B10</f>
        <v>TTbl</v>
      </c>
      <c r="B11" t="str">
        <f t="shared" ca="1" si="0"/>
        <v>Private Sub ZZ_B_TTbl():</v>
      </c>
      <c r="C11">
        <f ca="1">LEN(T_ZZ[[#This Row],[1]])</f>
        <v>24</v>
      </c>
      <c r="D11">
        <f ca="1">T_ZZ[[#Totals],[1Len]]-T_ZZ[[#This Row],[1Len]]</f>
        <v>10</v>
      </c>
      <c r="E11" t="str">
        <f ca="1">REPT(" ",T_ZZ[[#This Row],[1Filler]]+1)</f>
        <v xml:space="preserve">           </v>
      </c>
      <c r="F11" s="3" t="str">
        <f ca="1">"BrwDrs Y_"&amp;T_ZZ[[#This Row],[Key]]&amp;":"</f>
        <v>BrwDrs Y_TTbl:</v>
      </c>
      <c r="G11" s="4">
        <f ca="1">LEN(T_ZZ[[#This Row],[Column5]])</f>
        <v>14</v>
      </c>
      <c r="H11" s="4">
        <f ca="1">T_ZZ[[#Totals],[Column6]]-T_ZZ[[#This Row],[Column6]]</f>
        <v>10</v>
      </c>
      <c r="I11" s="4" t="str">
        <f ca="1">REPT(" ",T_ZZ[[#This Row],[Column7]]+1)</f>
        <v xml:space="preserve">           </v>
      </c>
      <c r="J11" s="3" t="str">
        <f ca="1">T_ZZ[[#This Row],[1]]&amp;T_ZZ[[#This Row],[1Spc]]&amp;T_ZZ[[#This Row],[Column5]]&amp;T_ZZ[[#This Row],[Column8]]&amp;"End Sub"</f>
        <v>Private Sub ZZ_B_TTbl():           BrwDrs Y_TTbl:           End Sub</v>
      </c>
    </row>
    <row r="12" spans="1:10" x14ac:dyDescent="0.35">
      <c r="A12" t="str">
        <f ca="1">Key!B11</f>
        <v>TETblFld</v>
      </c>
      <c r="B12" t="str">
        <f t="shared" ca="1" si="0"/>
        <v>Private Sub ZZ_B_TETblFld():</v>
      </c>
      <c r="C12">
        <f ca="1">LEN(T_ZZ[[#This Row],[1]])</f>
        <v>28</v>
      </c>
      <c r="D12">
        <f ca="1">T_ZZ[[#Totals],[1Len]]-T_ZZ[[#This Row],[1Len]]</f>
        <v>6</v>
      </c>
      <c r="E12" t="str">
        <f ca="1">REPT(" ",T_ZZ[[#This Row],[1Filler]]+1)</f>
        <v xml:space="preserve">       </v>
      </c>
      <c r="F12" s="3" t="str">
        <f ca="1">"BrwDrs Y_"&amp;T_ZZ[[#This Row],[Key]]&amp;":"</f>
        <v>BrwDrs Y_TETblFld:</v>
      </c>
      <c r="G12" s="4">
        <f ca="1">LEN(T_ZZ[[#This Row],[Column5]])</f>
        <v>18</v>
      </c>
      <c r="H12" s="4">
        <f ca="1">T_ZZ[[#Totals],[Column6]]-T_ZZ[[#This Row],[Column6]]</f>
        <v>6</v>
      </c>
      <c r="I12" s="4" t="str">
        <f ca="1">REPT(" ",T_ZZ[[#This Row],[Column7]]+1)</f>
        <v xml:space="preserve">       </v>
      </c>
      <c r="J12" s="3" t="str">
        <f ca="1">T_ZZ[[#This Row],[1]]&amp;T_ZZ[[#This Row],[1Spc]]&amp;T_ZZ[[#This Row],[Column5]]&amp;T_ZZ[[#This Row],[Column8]]&amp;"End Sub"</f>
        <v>Private Sub ZZ_B_TETblFld():       BrwDrs Y_TETblFld:       End Sub</v>
      </c>
    </row>
    <row r="13" spans="1:10" x14ac:dyDescent="0.35">
      <c r="A13" t="str">
        <f ca="1">Key!B12</f>
        <v>TATblFld</v>
      </c>
      <c r="B13" t="str">
        <f t="shared" ca="1" si="0"/>
        <v>Private Sub ZZ_B_TATblFld():</v>
      </c>
      <c r="C13">
        <f ca="1">LEN(T_ZZ[[#This Row],[1]])</f>
        <v>28</v>
      </c>
      <c r="D13">
        <f ca="1">T_ZZ[[#Totals],[1Len]]-T_ZZ[[#This Row],[1Len]]</f>
        <v>6</v>
      </c>
      <c r="E13" t="str">
        <f ca="1">REPT(" ",T_ZZ[[#This Row],[1Filler]]+1)</f>
        <v xml:space="preserve">       </v>
      </c>
      <c r="F13" s="3" t="str">
        <f ca="1">"BrwDrs Y_"&amp;T_ZZ[[#This Row],[Key]]&amp;":"</f>
        <v>BrwDrs Y_TATblFld:</v>
      </c>
      <c r="G13" s="4">
        <f ca="1">LEN(T_ZZ[[#This Row],[Column5]])</f>
        <v>18</v>
      </c>
      <c r="H13" s="4">
        <f ca="1">T_ZZ[[#Totals],[Column6]]-T_ZZ[[#This Row],[Column6]]</f>
        <v>6</v>
      </c>
      <c r="I13" s="4" t="str">
        <f ca="1">REPT(" ",T_ZZ[[#This Row],[Column7]]+1)</f>
        <v xml:space="preserve">       </v>
      </c>
      <c r="J13" s="3" t="str">
        <f ca="1">T_ZZ[[#This Row],[1]]&amp;T_ZZ[[#This Row],[1Spc]]&amp;T_ZZ[[#This Row],[Column5]]&amp;T_ZZ[[#This Row],[Column8]]&amp;"End Sub"</f>
        <v>Private Sub ZZ_B_TATblFld():       BrwDrs Y_TATblFld:       End Sub</v>
      </c>
    </row>
    <row r="14" spans="1:10" x14ac:dyDescent="0.35">
      <c r="A14" t="str">
        <f ca="1">Key!B13</f>
        <v>OU_FfnNFnd</v>
      </c>
      <c r="B14" t="str">
        <f t="shared" ca="1" si="0"/>
        <v>Private Sub ZZ_B_OU_FfnNFnd():</v>
      </c>
      <c r="C14">
        <f ca="1">LEN(T_ZZ[[#This Row],[1]])</f>
        <v>30</v>
      </c>
      <c r="D14">
        <f ca="1">T_ZZ[[#Totals],[1Len]]-T_ZZ[[#This Row],[1Len]]</f>
        <v>4</v>
      </c>
      <c r="E14" t="str">
        <f ca="1">REPT(" ",T_ZZ[[#This Row],[1Filler]]+1)</f>
        <v xml:space="preserve">     </v>
      </c>
      <c r="F14" s="3" t="str">
        <f ca="1">"BrwDrs Y_"&amp;T_ZZ[[#This Row],[Key]]&amp;":"</f>
        <v>BrwDrs Y_OU_FfnNFnd:</v>
      </c>
      <c r="G14" s="4">
        <f ca="1">LEN(T_ZZ[[#This Row],[Column5]])</f>
        <v>20</v>
      </c>
      <c r="H14" s="4">
        <f ca="1">T_ZZ[[#Totals],[Column6]]-T_ZZ[[#This Row],[Column6]]</f>
        <v>4</v>
      </c>
      <c r="I14" s="4" t="str">
        <f ca="1">REPT(" ",T_ZZ[[#This Row],[Column7]]+1)</f>
        <v xml:space="preserve">     </v>
      </c>
      <c r="J14" s="3" t="str">
        <f ca="1">T_ZZ[[#This Row],[1]]&amp;T_ZZ[[#This Row],[1Spc]]&amp;T_ZZ[[#This Row],[Column5]]&amp;T_ZZ[[#This Row],[Column8]]&amp;"End Sub"</f>
        <v>Private Sub ZZ_B_OU_FfnNFnd():     BrwDrs Y_OU_FfnNFnd:     End Sub</v>
      </c>
    </row>
    <row r="15" spans="1:10" x14ac:dyDescent="0.35">
      <c r="A15" t="str">
        <f ca="1">Key!B14</f>
        <v>OU_FbtNFnd</v>
      </c>
      <c r="B15" t="str">
        <f t="shared" ca="1" si="0"/>
        <v>Private Sub ZZ_B_OU_FbtNFnd():</v>
      </c>
      <c r="C15">
        <f ca="1">LEN(T_ZZ[[#This Row],[1]])</f>
        <v>30</v>
      </c>
      <c r="D15">
        <f ca="1">T_ZZ[[#Totals],[1Len]]-T_ZZ[[#This Row],[1Len]]</f>
        <v>4</v>
      </c>
      <c r="E15" t="str">
        <f ca="1">REPT(" ",T_ZZ[[#This Row],[1Filler]]+1)</f>
        <v xml:space="preserve">     </v>
      </c>
      <c r="F15" s="3" t="str">
        <f ca="1">"BrwDrs Y_"&amp;T_ZZ[[#This Row],[Key]]&amp;":"</f>
        <v>BrwDrs Y_OU_FbtNFnd:</v>
      </c>
      <c r="G15" s="4">
        <f ca="1">LEN(T_ZZ[[#This Row],[Column5]])</f>
        <v>20</v>
      </c>
      <c r="H15" s="4">
        <f ca="1">T_ZZ[[#Totals],[Column6]]-T_ZZ[[#This Row],[Column6]]</f>
        <v>4</v>
      </c>
      <c r="I15" s="4" t="str">
        <f ca="1">REPT(" ",T_ZZ[[#This Row],[Column7]]+1)</f>
        <v xml:space="preserve">     </v>
      </c>
      <c r="J15" s="3" t="str">
        <f ca="1">T_ZZ[[#This Row],[1]]&amp;T_ZZ[[#This Row],[1Spc]]&amp;T_ZZ[[#This Row],[Column5]]&amp;T_ZZ[[#This Row],[Column8]]&amp;"End Sub"</f>
        <v>Private Sub ZZ_B_OU_FbtNFnd():     BrwDrs Y_OU_FbtNFnd:     End Sub</v>
      </c>
    </row>
    <row r="16" spans="1:10" x14ac:dyDescent="0.35">
      <c r="A16" t="str">
        <f ca="1">Key!B15</f>
        <v>OU_WsnNFnd</v>
      </c>
      <c r="B16" t="str">
        <f t="shared" ca="1" si="0"/>
        <v>Private Sub ZZ_B_OU_WsnNFnd():</v>
      </c>
      <c r="C16">
        <f ca="1">LEN(T_ZZ[[#This Row],[1]])</f>
        <v>30</v>
      </c>
      <c r="D16">
        <f ca="1">T_ZZ[[#Totals],[1Len]]-T_ZZ[[#This Row],[1Len]]</f>
        <v>4</v>
      </c>
      <c r="E16" t="str">
        <f ca="1">REPT(" ",T_ZZ[[#This Row],[1Filler]]+1)</f>
        <v xml:space="preserve">     </v>
      </c>
      <c r="F16" s="3" t="str">
        <f ca="1">"BrwDrs Y_"&amp;T_ZZ[[#This Row],[Key]]&amp;":"</f>
        <v>BrwDrs Y_OU_WsnNFnd:</v>
      </c>
      <c r="G16" s="4">
        <f ca="1">LEN(T_ZZ[[#This Row],[Column5]])</f>
        <v>20</v>
      </c>
      <c r="H16" s="4">
        <f ca="1">T_ZZ[[#Totals],[Column6]]-T_ZZ[[#This Row],[Column6]]</f>
        <v>4</v>
      </c>
      <c r="I16" s="4" t="str">
        <f ca="1">REPT(" ",T_ZZ[[#This Row],[Column7]]+1)</f>
        <v xml:space="preserve">     </v>
      </c>
      <c r="J16" s="3" t="str">
        <f ca="1">T_ZZ[[#This Row],[1]]&amp;T_ZZ[[#This Row],[1Spc]]&amp;T_ZZ[[#This Row],[Column5]]&amp;T_ZZ[[#This Row],[Column8]]&amp;"End Sub"</f>
        <v>Private Sub ZZ_B_OU_WsnNFnd():     BrwDrs Y_OU_WsnNFnd:     End Sub</v>
      </c>
    </row>
    <row r="17" spans="1:10" x14ac:dyDescent="0.35">
      <c r="A17" t="str">
        <f ca="1">Key!B16</f>
        <v>OU_FxExtnNFnd</v>
      </c>
      <c r="B17" t="str">
        <f t="shared" ca="1" si="0"/>
        <v>Private Sub ZZ_B_OU_FxExtnNFnd():</v>
      </c>
      <c r="C17">
        <f ca="1">LEN(T_ZZ[[#This Row],[1]])</f>
        <v>33</v>
      </c>
      <c r="D17">
        <f ca="1">T_ZZ[[#Totals],[1Len]]-T_ZZ[[#This Row],[1Len]]</f>
        <v>1</v>
      </c>
      <c r="E17" t="str">
        <f ca="1">REPT(" ",T_ZZ[[#This Row],[1Filler]]+1)</f>
        <v xml:space="preserve">  </v>
      </c>
      <c r="F17" s="3" t="str">
        <f ca="1">"BrwDrs Y_"&amp;T_ZZ[[#This Row],[Key]]&amp;":"</f>
        <v>BrwDrs Y_OU_FxExtnNFnd:</v>
      </c>
      <c r="G17" s="4">
        <f ca="1">LEN(T_ZZ[[#This Row],[Column5]])</f>
        <v>23</v>
      </c>
      <c r="H17" s="4">
        <f ca="1">T_ZZ[[#Totals],[Column6]]-T_ZZ[[#This Row],[Column6]]</f>
        <v>1</v>
      </c>
      <c r="I17" s="4" t="str">
        <f ca="1">REPT(" ",T_ZZ[[#This Row],[Column7]]+1)</f>
        <v xml:space="preserve">  </v>
      </c>
      <c r="J17" s="3" t="str">
        <f ca="1">T_ZZ[[#This Row],[1]]&amp;T_ZZ[[#This Row],[1Spc]]&amp;T_ZZ[[#This Row],[Column5]]&amp;T_ZZ[[#This Row],[Column8]]&amp;"End Sub"</f>
        <v>Private Sub ZZ_B_OU_FxExtnNFnd():  BrwDrs Y_OU_FxExtnNFnd:  End Sub</v>
      </c>
    </row>
    <row r="18" spans="1:10" x14ac:dyDescent="0.35">
      <c r="A18" t="str">
        <f ca="1">Key!B17</f>
        <v>OU_FxFldTyNMch</v>
      </c>
      <c r="B18" t="str">
        <f t="shared" ca="1" si="0"/>
        <v>Private Sub ZZ_B_OU_FxFldTyNMch():</v>
      </c>
      <c r="C18">
        <f ca="1">LEN(T_ZZ[[#This Row],[1]])</f>
        <v>34</v>
      </c>
      <c r="D18">
        <f ca="1">T_ZZ[[#Totals],[1Len]]-T_ZZ[[#This Row],[1Len]]</f>
        <v>0</v>
      </c>
      <c r="E18" t="str">
        <f ca="1">REPT(" ",T_ZZ[[#This Row],[1Filler]]+1)</f>
        <v xml:space="preserve"> </v>
      </c>
      <c r="F18" s="3" t="str">
        <f ca="1">"BrwDrs Y_"&amp;T_ZZ[[#This Row],[Key]]&amp;":"</f>
        <v>BrwDrs Y_OU_FxFldTyNMch:</v>
      </c>
      <c r="G18" s="4">
        <f ca="1">LEN(T_ZZ[[#This Row],[Column5]])</f>
        <v>24</v>
      </c>
      <c r="H18" s="4">
        <f ca="1">T_ZZ[[#Totals],[Column6]]-T_ZZ[[#This Row],[Column6]]</f>
        <v>0</v>
      </c>
      <c r="I18" s="4" t="str">
        <f ca="1">REPT(" ",T_ZZ[[#This Row],[Column7]]+1)</f>
        <v xml:space="preserve"> </v>
      </c>
      <c r="J18" s="3" t="str">
        <f ca="1">T_ZZ[[#This Row],[1]]&amp;T_ZZ[[#This Row],[1Spc]]&amp;T_ZZ[[#This Row],[Column5]]&amp;T_ZZ[[#This Row],[Column8]]&amp;"End Sub"</f>
        <v>Private Sub ZZ_B_OU_FxFldTyNMch(): BrwDrs Y_OU_FxFldTyNMch: End Sub</v>
      </c>
    </row>
    <row r="19" spans="1:10" x14ac:dyDescent="0.35">
      <c r="A19" t="str">
        <f ca="1">Key!B18</f>
        <v>OU_All</v>
      </c>
      <c r="B19" t="str">
        <f t="shared" ca="1" si="0"/>
        <v>Private Sub ZZ_B_OU_All():</v>
      </c>
      <c r="C19">
        <f ca="1">LEN(T_ZZ[[#This Row],[1]])</f>
        <v>26</v>
      </c>
      <c r="D19">
        <f ca="1">T_ZZ[[#Totals],[1Len]]-T_ZZ[[#This Row],[1Len]]</f>
        <v>8</v>
      </c>
      <c r="E19" t="str">
        <f ca="1">REPT(" ",T_ZZ[[#This Row],[1Filler]]+1)</f>
        <v xml:space="preserve">         </v>
      </c>
      <c r="F19" s="3" t="str">
        <f ca="1">"BrwDrs Y_"&amp;T_ZZ[[#This Row],[Key]]&amp;":"</f>
        <v>BrwDrs Y_OU_All:</v>
      </c>
      <c r="G19" s="4">
        <f ca="1">LEN(T_ZZ[[#This Row],[Column5]])</f>
        <v>16</v>
      </c>
      <c r="H19" s="4">
        <f ca="1">T_ZZ[[#Totals],[Column6]]-T_ZZ[[#This Row],[Column6]]</f>
        <v>8</v>
      </c>
      <c r="I19" s="4" t="str">
        <f ca="1">REPT(" ",T_ZZ[[#This Row],[Column7]]+1)</f>
        <v xml:space="preserve">         </v>
      </c>
      <c r="J19" s="3" t="str">
        <f ca="1">T_ZZ[[#This Row],[1]]&amp;T_ZZ[[#This Row],[1Spc]]&amp;T_ZZ[[#This Row],[Column5]]&amp;T_ZZ[[#This Row],[Column8]]&amp;"End Sub"</f>
        <v>Private Sub ZZ_B_OU_All():         BrwDrs Y_OU_All:         End Sub</v>
      </c>
    </row>
    <row r="20" spans="1:10" x14ac:dyDescent="0.35">
      <c r="A20" t="str">
        <f ca="1">Key!B19</f>
        <v>OU_ThwIfEr</v>
      </c>
      <c r="B20" t="str">
        <f t="shared" ca="1" si="0"/>
        <v>Private Sub ZZ_B_OU_ThwIfEr():</v>
      </c>
      <c r="C20">
        <f ca="1">LEN(T_ZZ[[#This Row],[1]])</f>
        <v>30</v>
      </c>
      <c r="D20">
        <f ca="1">T_ZZ[[#Totals],[1Len]]-T_ZZ[[#This Row],[1Len]]</f>
        <v>4</v>
      </c>
      <c r="E20" t="str">
        <f ca="1">REPT(" ",T_ZZ[[#This Row],[1Filler]]+1)</f>
        <v xml:space="preserve">     </v>
      </c>
      <c r="F20" s="3" t="str">
        <f ca="1">"BrwDrs Y_"&amp;T_ZZ[[#This Row],[Key]]&amp;":"</f>
        <v>BrwDrs Y_OU_ThwIfEr:</v>
      </c>
      <c r="G20" s="4">
        <f ca="1">LEN(T_ZZ[[#This Row],[Column5]])</f>
        <v>20</v>
      </c>
      <c r="H20" s="4">
        <f ca="1">T_ZZ[[#Totals],[Column6]]-T_ZZ[[#This Row],[Column6]]</f>
        <v>4</v>
      </c>
      <c r="I20" s="4" t="str">
        <f ca="1">REPT(" ",T_ZZ[[#This Row],[Column7]]+1)</f>
        <v xml:space="preserve">     </v>
      </c>
      <c r="J20" s="3" t="str">
        <f ca="1">T_ZZ[[#This Row],[1]]&amp;T_ZZ[[#This Row],[1Spc]]&amp;T_ZZ[[#This Row],[Column5]]&amp;T_ZZ[[#This Row],[Column8]]&amp;"End Sub"</f>
        <v>Private Sub ZZ_B_OU_ThwIfEr():     BrwDrs Y_OU_ThwIfEr:     End Sub</v>
      </c>
    </row>
    <row r="21" spans="1:10" x14ac:dyDescent="0.35">
      <c r="A21" t="str">
        <f ca="1">Key!B20</f>
        <v>OS_FldDup</v>
      </c>
      <c r="B21" t="str">
        <f t="shared" ca="1" si="0"/>
        <v>Private Sub ZZ_B_OS_FldDup():</v>
      </c>
      <c r="C21">
        <f ca="1">LEN(T_ZZ[[#This Row],[1]])</f>
        <v>29</v>
      </c>
      <c r="D21">
        <f ca="1">T_ZZ[[#Totals],[1Len]]-T_ZZ[[#This Row],[1Len]]</f>
        <v>5</v>
      </c>
      <c r="E21" t="str">
        <f ca="1">REPT(" ",T_ZZ[[#This Row],[1Filler]]+1)</f>
        <v xml:space="preserve">      </v>
      </c>
      <c r="F21" s="3" t="str">
        <f ca="1">"BrwDrs Y_"&amp;T_ZZ[[#This Row],[Key]]&amp;":"</f>
        <v>BrwDrs Y_OS_FldDup:</v>
      </c>
      <c r="G21" s="4">
        <f ca="1">LEN(T_ZZ[[#This Row],[Column5]])</f>
        <v>19</v>
      </c>
      <c r="H21" s="4">
        <f ca="1">T_ZZ[[#Totals],[Column6]]-T_ZZ[[#This Row],[Column6]]</f>
        <v>5</v>
      </c>
      <c r="I21" s="4" t="str">
        <f ca="1">REPT(" ",T_ZZ[[#This Row],[Column7]]+1)</f>
        <v xml:space="preserve">      </v>
      </c>
      <c r="J21" s="3" t="str">
        <f ca="1">T_ZZ[[#This Row],[1]]&amp;T_ZZ[[#This Row],[1Spc]]&amp;T_ZZ[[#This Row],[Column5]]&amp;T_ZZ[[#This Row],[Column8]]&amp;"End Sub"</f>
        <v>Private Sub ZZ_B_OS_FldDup():      BrwDrs Y_OS_FldDup:      End Sub</v>
      </c>
    </row>
    <row r="22" spans="1:10" x14ac:dyDescent="0.35">
      <c r="A22" t="str">
        <f ca="1">Key!B21</f>
        <v>OS_StruDup</v>
      </c>
      <c r="B22" t="str">
        <f t="shared" ca="1" si="0"/>
        <v>Private Sub ZZ_B_OS_StruDup():</v>
      </c>
      <c r="C22">
        <f ca="1">LEN(T_ZZ[[#This Row],[1]])</f>
        <v>30</v>
      </c>
      <c r="D22">
        <f ca="1">T_ZZ[[#Totals],[1Len]]-T_ZZ[[#This Row],[1Len]]</f>
        <v>4</v>
      </c>
      <c r="E22" t="str">
        <f ca="1">REPT(" ",T_ZZ[[#This Row],[1Filler]]+1)</f>
        <v xml:space="preserve">     </v>
      </c>
      <c r="F22" s="3" t="str">
        <f ca="1">"BrwDrs Y_"&amp;T_ZZ[[#This Row],[Key]]&amp;":"</f>
        <v>BrwDrs Y_OS_StruDup:</v>
      </c>
      <c r="G22" s="4">
        <f ca="1">LEN(T_ZZ[[#This Row],[Column5]])</f>
        <v>20</v>
      </c>
      <c r="H22" s="4">
        <f ca="1">T_ZZ[[#Totals],[Column6]]-T_ZZ[[#This Row],[Column6]]</f>
        <v>4</v>
      </c>
      <c r="I22" s="4" t="str">
        <f ca="1">REPT(" ",T_ZZ[[#This Row],[Column7]]+1)</f>
        <v xml:space="preserve">     </v>
      </c>
      <c r="J22" s="3" t="str">
        <f ca="1">T_ZZ[[#This Row],[1]]&amp;T_ZZ[[#This Row],[1Spc]]&amp;T_ZZ[[#This Row],[Column5]]&amp;T_ZZ[[#This Row],[Column8]]&amp;"End Sub"</f>
        <v>Private Sub ZZ_B_OS_StruDup():     BrwDrs Y_OS_StruDup:     End Sub</v>
      </c>
    </row>
    <row r="23" spans="1:10" x14ac:dyDescent="0.35">
      <c r="A23" t="str">
        <f ca="1">Key!B22</f>
        <v>OS_FldTyEr</v>
      </c>
      <c r="B23" t="str">
        <f t="shared" ca="1" si="0"/>
        <v>Private Sub ZZ_B_OS_FldTyEr():</v>
      </c>
      <c r="C23">
        <f ca="1">LEN(T_ZZ[[#This Row],[1]])</f>
        <v>30</v>
      </c>
      <c r="D23">
        <f ca="1">T_ZZ[[#Totals],[1Len]]-T_ZZ[[#This Row],[1Len]]</f>
        <v>4</v>
      </c>
      <c r="E23" t="str">
        <f ca="1">REPT(" ",T_ZZ[[#This Row],[1Filler]]+1)</f>
        <v xml:space="preserve">     </v>
      </c>
      <c r="F23" s="3" t="str">
        <f ca="1">"BrwDrs Y_"&amp;T_ZZ[[#This Row],[Key]]&amp;":"</f>
        <v>BrwDrs Y_OS_FldTyEr:</v>
      </c>
      <c r="G23" s="4">
        <f ca="1">LEN(T_ZZ[[#This Row],[Column5]])</f>
        <v>20</v>
      </c>
      <c r="H23" s="4">
        <f ca="1">T_ZZ[[#Totals],[Column6]]-T_ZZ[[#This Row],[Column6]]</f>
        <v>4</v>
      </c>
      <c r="I23" s="4" t="str">
        <f ca="1">REPT(" ",T_ZZ[[#This Row],[Column7]]+1)</f>
        <v xml:space="preserve">     </v>
      </c>
      <c r="J23" s="3" t="str">
        <f ca="1">T_ZZ[[#This Row],[1]]&amp;T_ZZ[[#This Row],[1Spc]]&amp;T_ZZ[[#This Row],[Column5]]&amp;T_ZZ[[#This Row],[Column8]]&amp;"End Sub"</f>
        <v>Private Sub ZZ_B_OS_FldTyEr():     BrwDrs Y_OS_FldTyEr:     End Sub</v>
      </c>
    </row>
    <row r="24" spans="1:10" x14ac:dyDescent="0.35">
      <c r="A24" t="str">
        <f ca="1">Key!B23</f>
        <v>OS_StruExcess</v>
      </c>
      <c r="B24" t="str">
        <f t="shared" ca="1" si="0"/>
        <v>Private Sub ZZ_B_OS_StruExcess():</v>
      </c>
      <c r="C24">
        <f ca="1">LEN(T_ZZ[[#This Row],[1]])</f>
        <v>33</v>
      </c>
      <c r="D24">
        <f ca="1">T_ZZ[[#Totals],[1Len]]-T_ZZ[[#This Row],[1Len]]</f>
        <v>1</v>
      </c>
      <c r="E24" t="str">
        <f ca="1">REPT(" ",T_ZZ[[#This Row],[1Filler]]+1)</f>
        <v xml:space="preserve">  </v>
      </c>
      <c r="F24" s="3" t="str">
        <f ca="1">"BrwDrs Y_"&amp;T_ZZ[[#This Row],[Key]]&amp;":"</f>
        <v>BrwDrs Y_OS_StruExcess:</v>
      </c>
      <c r="G24" s="4">
        <f ca="1">LEN(T_ZZ[[#This Row],[Column5]])</f>
        <v>23</v>
      </c>
      <c r="H24" s="4">
        <f ca="1">T_ZZ[[#Totals],[Column6]]-T_ZZ[[#This Row],[Column6]]</f>
        <v>1</v>
      </c>
      <c r="I24" s="4" t="str">
        <f ca="1">REPT(" ",T_ZZ[[#This Row],[Column7]]+1)</f>
        <v xml:space="preserve">  </v>
      </c>
      <c r="J24" s="3" t="str">
        <f ca="1">T_ZZ[[#This Row],[1]]&amp;T_ZZ[[#This Row],[1Spc]]&amp;T_ZZ[[#This Row],[Column5]]&amp;T_ZZ[[#This Row],[Column8]]&amp;"End Sub"</f>
        <v>Private Sub ZZ_B_OS_StruExcess():  BrwDrs Y_OS_StruExcess:  End Sub</v>
      </c>
    </row>
    <row r="25" spans="1:10" x14ac:dyDescent="0.35">
      <c r="A25" t="str">
        <f ca="1">Key!B24</f>
        <v>OS_StruInUse</v>
      </c>
      <c r="B25" t="str">
        <f t="shared" ca="1" si="0"/>
        <v>Private Sub ZZ_B_OS_StruInUse():</v>
      </c>
      <c r="C25">
        <f ca="1">LEN(T_ZZ[[#This Row],[1]])</f>
        <v>32</v>
      </c>
      <c r="D25">
        <f ca="1">T_ZZ[[#Totals],[1Len]]-T_ZZ[[#This Row],[1Len]]</f>
        <v>2</v>
      </c>
      <c r="E25" t="str">
        <f ca="1">REPT(" ",T_ZZ[[#This Row],[1Filler]]+1)</f>
        <v xml:space="preserve">   </v>
      </c>
      <c r="F25" s="3" t="str">
        <f ca="1">"BrwDrs Y_"&amp;T_ZZ[[#This Row],[Key]]&amp;":"</f>
        <v>BrwDrs Y_OS_StruInUse:</v>
      </c>
      <c r="G25" s="4">
        <f ca="1">LEN(T_ZZ[[#This Row],[Column5]])</f>
        <v>22</v>
      </c>
      <c r="H25" s="4">
        <f ca="1">T_ZZ[[#Totals],[Column6]]-T_ZZ[[#This Row],[Column6]]</f>
        <v>2</v>
      </c>
      <c r="I25" s="4" t="str">
        <f ca="1">REPT(" ",T_ZZ[[#This Row],[Column7]]+1)</f>
        <v xml:space="preserve">   </v>
      </c>
      <c r="J25" s="3" t="str">
        <f ca="1">T_ZZ[[#This Row],[1]]&amp;T_ZZ[[#This Row],[1Spc]]&amp;T_ZZ[[#This Row],[Column5]]&amp;T_ZZ[[#This Row],[Column8]]&amp;"End Sub"</f>
        <v>Private Sub ZZ_B_OS_StruInUse():   BrwDrs Y_OS_StruInUse:   End Sub</v>
      </c>
    </row>
    <row r="26" spans="1:10" x14ac:dyDescent="0.35">
      <c r="A26" t="str">
        <f ca="1">Key!B25</f>
        <v>OS_FxFldTyMis</v>
      </c>
      <c r="B26" t="str">
        <f t="shared" ca="1" si="0"/>
        <v>Private Sub ZZ_B_OS_FxFldTyMis():</v>
      </c>
      <c r="C26">
        <f ca="1">LEN(T_ZZ[[#This Row],[1]])</f>
        <v>33</v>
      </c>
      <c r="D26">
        <f ca="1">T_ZZ[[#Totals],[1Len]]-T_ZZ[[#This Row],[1Len]]</f>
        <v>1</v>
      </c>
      <c r="E26" t="str">
        <f ca="1">REPT(" ",T_ZZ[[#This Row],[1Filler]]+1)</f>
        <v xml:space="preserve">  </v>
      </c>
      <c r="F26" s="3" t="str">
        <f ca="1">"BrwDrs Y_"&amp;T_ZZ[[#This Row],[Key]]&amp;":"</f>
        <v>BrwDrs Y_OS_FxFldTyMis:</v>
      </c>
      <c r="G26" s="4">
        <f ca="1">LEN(T_ZZ[[#This Row],[Column5]])</f>
        <v>23</v>
      </c>
      <c r="H26" s="4">
        <f ca="1">T_ZZ[[#Totals],[Column6]]-T_ZZ[[#This Row],[Column6]]</f>
        <v>1</v>
      </c>
      <c r="I26" s="4" t="str">
        <f ca="1">REPT(" ",T_ZZ[[#This Row],[Column7]]+1)</f>
        <v xml:space="preserve">  </v>
      </c>
      <c r="J26" s="3" t="str">
        <f ca="1">T_ZZ[[#This Row],[1]]&amp;T_ZZ[[#This Row],[1Spc]]&amp;T_ZZ[[#This Row],[Column5]]&amp;T_ZZ[[#This Row],[Column8]]&amp;"End Sub"</f>
        <v>Private Sub ZZ_B_OS_FxFldTyMis():  BrwDrs Y_OS_FxFldTyMis:  End Sub</v>
      </c>
    </row>
    <row r="27" spans="1:10" x14ac:dyDescent="0.35">
      <c r="A27" t="str">
        <f ca="1">Key!B26</f>
        <v>OS_FldMis</v>
      </c>
      <c r="B27" t="str">
        <f t="shared" ca="1" si="0"/>
        <v>Private Sub ZZ_B_OS_FldMis():</v>
      </c>
      <c r="C27">
        <f ca="1">LEN(T_ZZ[[#This Row],[1]])</f>
        <v>29</v>
      </c>
      <c r="D27">
        <f ca="1">T_ZZ[[#Totals],[1Len]]-T_ZZ[[#This Row],[1Len]]</f>
        <v>5</v>
      </c>
      <c r="E27" t="str">
        <f ca="1">REPT(" ",T_ZZ[[#This Row],[1Filler]]+1)</f>
        <v xml:space="preserve">      </v>
      </c>
      <c r="F27" s="3" t="str">
        <f ca="1">"BrwDrs Y_"&amp;T_ZZ[[#This Row],[Key]]&amp;":"</f>
        <v>BrwDrs Y_OS_FldMis:</v>
      </c>
      <c r="G27" s="4">
        <f ca="1">LEN(T_ZZ[[#This Row],[Column5]])</f>
        <v>19</v>
      </c>
      <c r="H27" s="4">
        <f ca="1">T_ZZ[[#Totals],[Column6]]-T_ZZ[[#This Row],[Column6]]</f>
        <v>5</v>
      </c>
      <c r="I27" s="4" t="str">
        <f ca="1">REPT(" ",T_ZZ[[#This Row],[Column7]]+1)</f>
        <v xml:space="preserve">      </v>
      </c>
      <c r="J27" s="3" t="str">
        <f ca="1">T_ZZ[[#This Row],[1]]&amp;T_ZZ[[#This Row],[1Spc]]&amp;T_ZZ[[#This Row],[Column5]]&amp;T_ZZ[[#This Row],[Column8]]&amp;"End Sub"</f>
        <v>Private Sub ZZ_B_OS_FldMis():      BrwDrs Y_OS_FldMis:      End Sub</v>
      </c>
    </row>
    <row r="28" spans="1:10" x14ac:dyDescent="0.35">
      <c r="A28" t="str">
        <f ca="1">Key!B27</f>
        <v>OS_1</v>
      </c>
      <c r="B28" t="str">
        <f t="shared" ca="1" si="0"/>
        <v>Private Sub ZZ_B_OS_1():</v>
      </c>
      <c r="C28">
        <f ca="1">LEN(T_ZZ[[#This Row],[1]])</f>
        <v>24</v>
      </c>
      <c r="D28">
        <f ca="1">T_ZZ[[#Totals],[1Len]]-T_ZZ[[#This Row],[1Len]]</f>
        <v>10</v>
      </c>
      <c r="E28" t="str">
        <f ca="1">REPT(" ",T_ZZ[[#This Row],[1Filler]]+1)</f>
        <v xml:space="preserve">           </v>
      </c>
      <c r="F28" s="3" t="str">
        <f ca="1">"BrwDrs Y_"&amp;T_ZZ[[#This Row],[Key]]&amp;":"</f>
        <v>BrwDrs Y_OS_1:</v>
      </c>
      <c r="G28" s="4">
        <f ca="1">LEN(T_ZZ[[#This Row],[Column5]])</f>
        <v>14</v>
      </c>
      <c r="H28" s="4">
        <f ca="1">T_ZZ[[#Totals],[Column6]]-T_ZZ[[#This Row],[Column6]]</f>
        <v>10</v>
      </c>
      <c r="I28" s="4" t="str">
        <f ca="1">REPT(" ",T_ZZ[[#This Row],[Column7]]+1)</f>
        <v xml:space="preserve">           </v>
      </c>
      <c r="J28" s="3" t="str">
        <f ca="1">T_ZZ[[#This Row],[1]]&amp;T_ZZ[[#This Row],[1Spc]]&amp;T_ZZ[[#This Row],[Column5]]&amp;T_ZZ[[#This Row],[Column8]]&amp;"End Sub"</f>
        <v>Private Sub ZZ_B_OS_1():           BrwDrs Y_OS_1:           End Sub</v>
      </c>
    </row>
    <row r="29" spans="1:10" x14ac:dyDescent="0.35">
      <c r="A29" t="str">
        <f ca="1">Key!B28</f>
        <v>OS_2</v>
      </c>
      <c r="B29" t="str">
        <f t="shared" ca="1" si="0"/>
        <v>Private Sub ZZ_B_OS_2():</v>
      </c>
      <c r="C29">
        <f ca="1">LEN(T_ZZ[[#This Row],[1]])</f>
        <v>24</v>
      </c>
      <c r="D29">
        <f ca="1">T_ZZ[[#Totals],[1Len]]-T_ZZ[[#This Row],[1Len]]</f>
        <v>10</v>
      </c>
      <c r="E29" t="str">
        <f ca="1">REPT(" ",T_ZZ[[#This Row],[1Filler]]+1)</f>
        <v xml:space="preserve">           </v>
      </c>
      <c r="F29" s="3" t="str">
        <f ca="1">"BrwDrs Y_"&amp;T_ZZ[[#This Row],[Key]]&amp;":"</f>
        <v>BrwDrs Y_OS_2:</v>
      </c>
      <c r="G29" s="4">
        <f ca="1">LEN(T_ZZ[[#This Row],[Column5]])</f>
        <v>14</v>
      </c>
      <c r="H29" s="4">
        <f ca="1">T_ZZ[[#Totals],[Column6]]-T_ZZ[[#This Row],[Column6]]</f>
        <v>10</v>
      </c>
      <c r="I29" s="4" t="str">
        <f ca="1">REPT(" ",T_ZZ[[#This Row],[Column7]]+1)</f>
        <v xml:space="preserve">           </v>
      </c>
      <c r="J29" s="3" t="str">
        <f ca="1">T_ZZ[[#This Row],[1]]&amp;T_ZZ[[#This Row],[1Spc]]&amp;T_ZZ[[#This Row],[Column5]]&amp;T_ZZ[[#This Row],[Column8]]&amp;"End Sub"</f>
        <v>Private Sub ZZ_B_OS_2():           BrwDrs Y_OS_2:           End Sub</v>
      </c>
    </row>
    <row r="30" spans="1:10" x14ac:dyDescent="0.35">
      <c r="A30" t="str">
        <f ca="1">Key!B29</f>
        <v>OS_All</v>
      </c>
      <c r="B30" t="str">
        <f t="shared" ca="1" si="0"/>
        <v>Private Sub ZZ_B_OS_All():</v>
      </c>
      <c r="C30">
        <f ca="1">LEN(T_ZZ[[#This Row],[1]])</f>
        <v>26</v>
      </c>
      <c r="D30">
        <f ca="1">T_ZZ[[#Totals],[1Len]]-T_ZZ[[#This Row],[1Len]]</f>
        <v>8</v>
      </c>
      <c r="E30" t="str">
        <f ca="1">REPT(" ",T_ZZ[[#This Row],[1Filler]]+1)</f>
        <v xml:space="preserve">         </v>
      </c>
      <c r="F30" s="3" t="str">
        <f ca="1">"BrwDrs Y_"&amp;T_ZZ[[#This Row],[Key]]&amp;":"</f>
        <v>BrwDrs Y_OS_All:</v>
      </c>
      <c r="G30" s="4">
        <f ca="1">LEN(T_ZZ[[#This Row],[Column5]])</f>
        <v>16</v>
      </c>
      <c r="H30" s="4">
        <f ca="1">T_ZZ[[#Totals],[Column6]]-T_ZZ[[#This Row],[Column6]]</f>
        <v>8</v>
      </c>
      <c r="I30" s="4" t="str">
        <f ca="1">REPT(" ",T_ZZ[[#This Row],[Column7]]+1)</f>
        <v xml:space="preserve">         </v>
      </c>
      <c r="J30" s="3" t="str">
        <f ca="1">T_ZZ[[#This Row],[1]]&amp;T_ZZ[[#This Row],[1Spc]]&amp;T_ZZ[[#This Row],[Column5]]&amp;T_ZZ[[#This Row],[Column8]]&amp;"End Sub"</f>
        <v>Private Sub ZZ_B_OS_All():         BrwDrs Y_OS_All:         End Sub</v>
      </c>
    </row>
    <row r="31" spans="1:10" x14ac:dyDescent="0.35">
      <c r="A31" t="str">
        <f ca="1">Key!B30</f>
        <v>OX_StruNDef</v>
      </c>
      <c r="B31" t="str">
        <f t="shared" ca="1" si="0"/>
        <v>Private Sub ZZ_B_OX_StruNDef():</v>
      </c>
      <c r="C31">
        <f ca="1">LEN(T_ZZ[[#This Row],[1]])</f>
        <v>31</v>
      </c>
      <c r="D31">
        <f ca="1">T_ZZ[[#Totals],[1Len]]-T_ZZ[[#This Row],[1Len]]</f>
        <v>3</v>
      </c>
      <c r="E31" t="str">
        <f ca="1">REPT(" ",T_ZZ[[#This Row],[1Filler]]+1)</f>
        <v xml:space="preserve">    </v>
      </c>
      <c r="F31" s="3" t="str">
        <f ca="1">"BrwDrs Y_"&amp;T_ZZ[[#This Row],[Key]]&amp;":"</f>
        <v>BrwDrs Y_OX_StruNDef:</v>
      </c>
      <c r="G31" s="4">
        <f ca="1">LEN(T_ZZ[[#This Row],[Column5]])</f>
        <v>21</v>
      </c>
      <c r="H31" s="4">
        <f ca="1">T_ZZ[[#Totals],[Column6]]-T_ZZ[[#This Row],[Column6]]</f>
        <v>3</v>
      </c>
      <c r="I31" s="4" t="str">
        <f ca="1">REPT(" ",T_ZZ[[#This Row],[Column7]]+1)</f>
        <v xml:space="preserve">    </v>
      </c>
      <c r="J31" s="3" t="str">
        <f ca="1">T_ZZ[[#This Row],[1]]&amp;T_ZZ[[#This Row],[1Spc]]&amp;T_ZZ[[#This Row],[Column5]]&amp;T_ZZ[[#This Row],[Column8]]&amp;"End Sub"</f>
        <v>Private Sub ZZ_B_OX_StruNDef():    BrwDrs Y_OX_StruNDef:    End Sub</v>
      </c>
    </row>
    <row r="32" spans="1:10" x14ac:dyDescent="0.35">
      <c r="A32" t="str">
        <f ca="1">Key!B31</f>
        <v>OX_FxtDup</v>
      </c>
      <c r="B32" t="str">
        <f t="shared" ca="1" si="0"/>
        <v>Private Sub ZZ_B_OX_FxtDup():</v>
      </c>
      <c r="C32">
        <f ca="1">LEN(T_ZZ[[#This Row],[1]])</f>
        <v>29</v>
      </c>
      <c r="D32">
        <f ca="1">T_ZZ[[#Totals],[1Len]]-T_ZZ[[#This Row],[1Len]]</f>
        <v>5</v>
      </c>
      <c r="E32" t="str">
        <f ca="1">REPT(" ",T_ZZ[[#This Row],[1Filler]]+1)</f>
        <v xml:space="preserve">      </v>
      </c>
      <c r="F32" s="3" t="str">
        <f ca="1">"BrwDrs Y_"&amp;T_ZZ[[#This Row],[Key]]&amp;":"</f>
        <v>BrwDrs Y_OX_FxtDup:</v>
      </c>
      <c r="G32" s="4">
        <f ca="1">LEN(T_ZZ[[#This Row],[Column5]])</f>
        <v>19</v>
      </c>
      <c r="H32" s="4">
        <f ca="1">T_ZZ[[#Totals],[Column6]]-T_ZZ[[#This Row],[Column6]]</f>
        <v>5</v>
      </c>
      <c r="I32" s="4" t="str">
        <f ca="1">REPT(" ",T_ZZ[[#This Row],[Column7]]+1)</f>
        <v xml:space="preserve">      </v>
      </c>
      <c r="J32" s="3" t="str">
        <f ca="1">T_ZZ[[#This Row],[1]]&amp;T_ZZ[[#This Row],[1Spc]]&amp;T_ZZ[[#This Row],[Column5]]&amp;T_ZZ[[#This Row],[Column8]]&amp;"End Sub"</f>
        <v>Private Sub ZZ_B_OX_FxtDup():      BrwDrs Y_OX_FxtDup:      End Sub</v>
      </c>
    </row>
    <row r="33" spans="1:10" x14ac:dyDescent="0.35">
      <c r="A33" t="str">
        <f ca="1">Key!B32</f>
        <v>OX_FxtNDef</v>
      </c>
      <c r="B33" t="str">
        <f t="shared" ref="B33:B39" ca="1" si="1">"Private Sub ZZ_B_"&amp;A33&amp;"():"</f>
        <v>Private Sub ZZ_B_OX_FxtNDef():</v>
      </c>
      <c r="C33">
        <f ca="1">LEN(T_ZZ[[#This Row],[1]])</f>
        <v>30</v>
      </c>
      <c r="D33">
        <f ca="1">T_ZZ[[#Totals],[1Len]]-T_ZZ[[#This Row],[1Len]]</f>
        <v>4</v>
      </c>
      <c r="E33" t="str">
        <f ca="1">REPT(" ",T_ZZ[[#This Row],[1Filler]]+1)</f>
        <v xml:space="preserve">     </v>
      </c>
      <c r="F33" s="3" t="str">
        <f ca="1">"BrwDrs Y_"&amp;T_ZZ[[#This Row],[Key]]&amp;":"</f>
        <v>BrwDrs Y_OX_FxtNDef:</v>
      </c>
      <c r="G33" s="4">
        <f ca="1">LEN(T_ZZ[[#This Row],[Column5]])</f>
        <v>20</v>
      </c>
      <c r="H33" s="4">
        <f ca="1">T_ZZ[[#Totals],[Column6]]-T_ZZ[[#This Row],[Column6]]</f>
        <v>4</v>
      </c>
      <c r="I33" s="4" t="str">
        <f ca="1">REPT(" ",T_ZZ[[#This Row],[Column7]]+1)</f>
        <v xml:space="preserve">     </v>
      </c>
      <c r="J33" s="3" t="str">
        <f ca="1">T_ZZ[[#This Row],[1]]&amp;T_ZZ[[#This Row],[1Spc]]&amp;T_ZZ[[#This Row],[Column5]]&amp;T_ZZ[[#This Row],[Column8]]&amp;"End Sub"</f>
        <v>Private Sub ZZ_B_OX_FxtNDef():     BrwDrs Y_OX_FxtNDef:     End Sub</v>
      </c>
    </row>
    <row r="34" spans="1:10" x14ac:dyDescent="0.35">
      <c r="A34" t="str">
        <f ca="1">Key!B33</f>
        <v>OX_All</v>
      </c>
      <c r="B34" t="str">
        <f t="shared" ca="1" si="1"/>
        <v>Private Sub ZZ_B_OX_All():</v>
      </c>
      <c r="C34">
        <f ca="1">LEN(T_ZZ[[#This Row],[1]])</f>
        <v>26</v>
      </c>
      <c r="D34">
        <f ca="1">T_ZZ[[#Totals],[1Len]]-T_ZZ[[#This Row],[1Len]]</f>
        <v>8</v>
      </c>
      <c r="E34" t="str">
        <f ca="1">REPT(" ",T_ZZ[[#This Row],[1Filler]]+1)</f>
        <v xml:space="preserve">         </v>
      </c>
      <c r="F34" s="3" t="str">
        <f ca="1">"BrwDrs Y_"&amp;T_ZZ[[#This Row],[Key]]&amp;":"</f>
        <v>BrwDrs Y_OX_All:</v>
      </c>
      <c r="G34" s="4">
        <f ca="1">LEN(T_ZZ[[#This Row],[Column5]])</f>
        <v>16</v>
      </c>
      <c r="H34" s="4">
        <f ca="1">T_ZZ[[#Totals],[Column6]]-T_ZZ[[#This Row],[Column6]]</f>
        <v>8</v>
      </c>
      <c r="I34" s="4" t="str">
        <f ca="1">REPT(" ",T_ZZ[[#This Row],[Column7]]+1)</f>
        <v xml:space="preserve">         </v>
      </c>
      <c r="J34" s="3" t="str">
        <f ca="1">T_ZZ[[#This Row],[1]]&amp;T_ZZ[[#This Row],[1Spc]]&amp;T_ZZ[[#This Row],[Column5]]&amp;T_ZZ[[#This Row],[Column8]]&amp;"End Sub"</f>
        <v>Private Sub ZZ_B_OX_All():         BrwDrs Y_OX_All:         End Sub</v>
      </c>
    </row>
    <row r="35" spans="1:10" x14ac:dyDescent="0.35">
      <c r="A35" t="str">
        <f ca="1">Key!B34</f>
        <v>OB_StruNDef</v>
      </c>
      <c r="B35" t="str">
        <f t="shared" ca="1" si="1"/>
        <v>Private Sub ZZ_B_OB_StruNDef():</v>
      </c>
      <c r="C35">
        <f ca="1">LEN(T_ZZ[[#This Row],[1]])</f>
        <v>31</v>
      </c>
      <c r="D35">
        <f ca="1">T_ZZ[[#Totals],[1Len]]-T_ZZ[[#This Row],[1Len]]</f>
        <v>3</v>
      </c>
      <c r="E35" t="str">
        <f ca="1">REPT(" ",T_ZZ[[#This Row],[1Filler]]+1)</f>
        <v xml:space="preserve">    </v>
      </c>
      <c r="F35" s="3" t="str">
        <f ca="1">"BrwDrs Y_"&amp;T_ZZ[[#This Row],[Key]]&amp;":"</f>
        <v>BrwDrs Y_OB_StruNDef:</v>
      </c>
      <c r="G35" s="4">
        <f ca="1">LEN(T_ZZ[[#This Row],[Column5]])</f>
        <v>21</v>
      </c>
      <c r="H35" s="4">
        <f ca="1">T_ZZ[[#Totals],[Column6]]-T_ZZ[[#This Row],[Column6]]</f>
        <v>3</v>
      </c>
      <c r="I35" s="4" t="str">
        <f ca="1">REPT(" ",T_ZZ[[#This Row],[Column7]]+1)</f>
        <v xml:space="preserve">    </v>
      </c>
      <c r="J35" s="3" t="str">
        <f ca="1">T_ZZ[[#This Row],[1]]&amp;T_ZZ[[#This Row],[1Spc]]&amp;T_ZZ[[#This Row],[Column5]]&amp;T_ZZ[[#This Row],[Column8]]&amp;"End Sub"</f>
        <v>Private Sub ZZ_B_OB_StruNDef():    BrwDrs Y_OB_StruNDef:    End Sub</v>
      </c>
    </row>
    <row r="36" spans="1:10" x14ac:dyDescent="0.35">
      <c r="A36" t="str">
        <f ca="1">Key!B35</f>
        <v>OB_FbnNDef</v>
      </c>
      <c r="B36" t="str">
        <f t="shared" ca="1" si="1"/>
        <v>Private Sub ZZ_B_OB_FbnNDef():</v>
      </c>
      <c r="C36">
        <f ca="1">LEN(T_ZZ[[#This Row],[1]])</f>
        <v>30</v>
      </c>
      <c r="D36">
        <f ca="1">T_ZZ[[#Totals],[1Len]]-T_ZZ[[#This Row],[1Len]]</f>
        <v>4</v>
      </c>
      <c r="E36" t="str">
        <f ca="1">REPT(" ",T_ZZ[[#This Row],[1Filler]]+1)</f>
        <v xml:space="preserve">     </v>
      </c>
      <c r="F36" s="3" t="str">
        <f ca="1">"BrwDrs Y_"&amp;T_ZZ[[#This Row],[Key]]&amp;":"</f>
        <v>BrwDrs Y_OB_FbnNDef:</v>
      </c>
      <c r="G36" s="4">
        <f ca="1">LEN(T_ZZ[[#This Row],[Column5]])</f>
        <v>20</v>
      </c>
      <c r="H36" s="4">
        <f ca="1">T_ZZ[[#Totals],[Column6]]-T_ZZ[[#This Row],[Column6]]</f>
        <v>4</v>
      </c>
      <c r="I36" s="4" t="str">
        <f ca="1">REPT(" ",T_ZZ[[#This Row],[Column7]]+1)</f>
        <v xml:space="preserve">     </v>
      </c>
      <c r="J36" s="3" t="str">
        <f ca="1">T_ZZ[[#This Row],[1]]&amp;T_ZZ[[#This Row],[1Spc]]&amp;T_ZZ[[#This Row],[Column5]]&amp;T_ZZ[[#This Row],[Column8]]&amp;"End Sub"</f>
        <v>Private Sub ZZ_B_OB_FbnNDef():     BrwDrs Y_OB_FbnNDef:     End Sub</v>
      </c>
    </row>
    <row r="37" spans="1:10" x14ac:dyDescent="0.35">
      <c r="A37" t="str">
        <f ca="1">Key!B36</f>
        <v>OB_FbtMis</v>
      </c>
      <c r="B37" t="str">
        <f t="shared" ca="1" si="1"/>
        <v>Private Sub ZZ_B_OB_FbtMis():</v>
      </c>
      <c r="C37">
        <f ca="1">LEN(T_ZZ[[#This Row],[1]])</f>
        <v>29</v>
      </c>
      <c r="D37">
        <f ca="1">T_ZZ[[#Totals],[1Len]]-T_ZZ[[#This Row],[1Len]]</f>
        <v>5</v>
      </c>
      <c r="E37" t="str">
        <f ca="1">REPT(" ",T_ZZ[[#This Row],[1Filler]]+1)</f>
        <v xml:space="preserve">      </v>
      </c>
      <c r="F37" s="3" t="str">
        <f ca="1">"BrwDrs Y_"&amp;T_ZZ[[#This Row],[Key]]&amp;":"</f>
        <v>BrwDrs Y_OB_FbtMis:</v>
      </c>
      <c r="G37" s="4">
        <f ca="1">LEN(T_ZZ[[#This Row],[Column5]])</f>
        <v>19</v>
      </c>
      <c r="H37" s="4">
        <f ca="1">T_ZZ[[#Totals],[Column6]]-T_ZZ[[#This Row],[Column6]]</f>
        <v>5</v>
      </c>
      <c r="I37" s="4" t="str">
        <f ca="1">REPT(" ",T_ZZ[[#This Row],[Column7]]+1)</f>
        <v xml:space="preserve">      </v>
      </c>
      <c r="J37" s="3" t="str">
        <f ca="1">T_ZZ[[#This Row],[1]]&amp;T_ZZ[[#This Row],[1Spc]]&amp;T_ZZ[[#This Row],[Column5]]&amp;T_ZZ[[#This Row],[Column8]]&amp;"End Sub"</f>
        <v>Private Sub ZZ_B_OB_FbtMis():      BrwDrs Y_OB_FbtMis:      End Sub</v>
      </c>
    </row>
    <row r="38" spans="1:10" x14ac:dyDescent="0.35">
      <c r="A38" t="str">
        <f ca="1">Key!B37</f>
        <v>OB_All</v>
      </c>
      <c r="B38" t="str">
        <f t="shared" ca="1" si="1"/>
        <v>Private Sub ZZ_B_OB_All():</v>
      </c>
      <c r="C38">
        <f ca="1">LEN(T_ZZ[[#This Row],[1]])</f>
        <v>26</v>
      </c>
      <c r="D38">
        <f ca="1">T_ZZ[[#Totals],[1Len]]-T_ZZ[[#This Row],[1Len]]</f>
        <v>8</v>
      </c>
      <c r="E38" t="str">
        <f ca="1">REPT(" ",T_ZZ[[#This Row],[1Filler]]+1)</f>
        <v xml:space="preserve">         </v>
      </c>
      <c r="F38" s="3" t="str">
        <f ca="1">"BrwDrs Y_"&amp;T_ZZ[[#This Row],[Key]]&amp;":"</f>
        <v>BrwDrs Y_OB_All:</v>
      </c>
      <c r="G38" s="4">
        <f ca="1">LEN(T_ZZ[[#This Row],[Column5]])</f>
        <v>16</v>
      </c>
      <c r="H38" s="4">
        <f ca="1">T_ZZ[[#Totals],[Column6]]-T_ZZ[[#This Row],[Column6]]</f>
        <v>8</v>
      </c>
      <c r="I38" s="4" t="str">
        <f ca="1">REPT(" ",T_ZZ[[#This Row],[Column7]]+1)</f>
        <v xml:space="preserve">         </v>
      </c>
      <c r="J38" s="3" t="str">
        <f ca="1">T_ZZ[[#This Row],[1]]&amp;T_ZZ[[#This Row],[1Spc]]&amp;T_ZZ[[#This Row],[Column5]]&amp;T_ZZ[[#This Row],[Column8]]&amp;"End Sub"</f>
        <v>Private Sub ZZ_B_OB_All():         BrwDrs Y_OB_All:         End Sub</v>
      </c>
    </row>
    <row r="39" spans="1:10" x14ac:dyDescent="0.35">
      <c r="A39" t="str">
        <f ca="1">Key!B38</f>
        <v>OW_TblDup</v>
      </c>
      <c r="B39" t="str">
        <f t="shared" ca="1" si="1"/>
        <v>Private Sub ZZ_B_OW_TblDup():</v>
      </c>
      <c r="C39">
        <f ca="1">LEN(T_ZZ[[#This Row],[1]])</f>
        <v>29</v>
      </c>
      <c r="D39">
        <f ca="1">T_ZZ[[#Totals],[1Len]]-T_ZZ[[#This Row],[1Len]]</f>
        <v>5</v>
      </c>
      <c r="E39" t="str">
        <f ca="1">REPT(" ",T_ZZ[[#This Row],[1Filler]]+1)</f>
        <v xml:space="preserve">      </v>
      </c>
      <c r="F39" s="3" t="str">
        <f ca="1">"BrwDrs Y_"&amp;T_ZZ[[#This Row],[Key]]&amp;":"</f>
        <v>BrwDrs Y_OW_TblDup:</v>
      </c>
      <c r="G39" s="4">
        <f ca="1">LEN(T_ZZ[[#This Row],[Column5]])</f>
        <v>19</v>
      </c>
      <c r="H39" s="4">
        <f ca="1">T_ZZ[[#Totals],[Column6]]-T_ZZ[[#This Row],[Column6]]</f>
        <v>5</v>
      </c>
      <c r="I39" s="4" t="str">
        <f ca="1">REPT(" ",T_ZZ[[#This Row],[Column7]]+1)</f>
        <v xml:space="preserve">      </v>
      </c>
      <c r="J39" s="3" t="str">
        <f ca="1">T_ZZ[[#This Row],[1]]&amp;T_ZZ[[#This Row],[1Spc]]&amp;T_ZZ[[#This Row],[Column5]]&amp;T_ZZ[[#This Row],[Column8]]&amp;"End Sub"</f>
        <v>Private Sub ZZ_B_OW_TblDup():      BrwDrs Y_OW_TblDup:      End Sub</v>
      </c>
    </row>
    <row r="40" spans="1:10" x14ac:dyDescent="0.35">
      <c r="A40" t="str">
        <f ca="1">Key!B39</f>
        <v>OW_TblNDef</v>
      </c>
      <c r="B40" t="str">
        <f t="shared" ca="1" si="0"/>
        <v>Private Sub ZZ_B_OW_TblNDef():</v>
      </c>
      <c r="C40">
        <f ca="1">LEN(T_ZZ[[#This Row],[1]])</f>
        <v>30</v>
      </c>
      <c r="D40">
        <f ca="1">T_ZZ[[#Totals],[1Len]]-T_ZZ[[#This Row],[1Len]]</f>
        <v>4</v>
      </c>
      <c r="E40" t="str">
        <f ca="1">REPT(" ",T_ZZ[[#This Row],[1Filler]]+1)</f>
        <v xml:space="preserve">     </v>
      </c>
      <c r="F40" s="3" t="str">
        <f ca="1">"BrwDrs Y_"&amp;T_ZZ[[#This Row],[Key]]&amp;":"</f>
        <v>BrwDrs Y_OW_TblNDef:</v>
      </c>
      <c r="G40" s="4">
        <f ca="1">LEN(T_ZZ[[#This Row],[Column5]])</f>
        <v>20</v>
      </c>
      <c r="H40" s="4">
        <f ca="1">T_ZZ[[#Totals],[Column6]]-T_ZZ[[#This Row],[Column6]]</f>
        <v>4</v>
      </c>
      <c r="I40" s="4" t="str">
        <f ca="1">REPT(" ",T_ZZ[[#This Row],[Column7]]+1)</f>
        <v xml:space="preserve">     </v>
      </c>
      <c r="J40" s="3" t="str">
        <f ca="1">T_ZZ[[#This Row],[1]]&amp;T_ZZ[[#This Row],[1Spc]]&amp;T_ZZ[[#This Row],[Column5]]&amp;T_ZZ[[#This Row],[Column8]]&amp;"End Sub"</f>
        <v>Private Sub ZZ_B_OW_TblNDef():     BrwDrs Y_OW_TblNDef:     End Sub</v>
      </c>
    </row>
    <row r="41" spans="1:10" x14ac:dyDescent="0.35">
      <c r="A41" t="str">
        <f ca="1">Key!B40</f>
        <v>OW_TblExcess</v>
      </c>
      <c r="B41" t="str">
        <f t="shared" ca="1" si="0"/>
        <v>Private Sub ZZ_B_OW_TblExcess():</v>
      </c>
      <c r="C41">
        <f ca="1">LEN(T_ZZ[[#This Row],[1]])</f>
        <v>32</v>
      </c>
      <c r="D41">
        <f ca="1">T_ZZ[[#Totals],[1Len]]-T_ZZ[[#This Row],[1Len]]</f>
        <v>2</v>
      </c>
      <c r="E41" t="str">
        <f ca="1">REPT(" ",T_ZZ[[#This Row],[1Filler]]+1)</f>
        <v xml:space="preserve">   </v>
      </c>
      <c r="F41" s="3" t="str">
        <f ca="1">"BrwDrs Y_"&amp;T_ZZ[[#This Row],[Key]]&amp;":"</f>
        <v>BrwDrs Y_OW_TblExcess:</v>
      </c>
      <c r="G41" s="4">
        <f ca="1">LEN(T_ZZ[[#This Row],[Column5]])</f>
        <v>22</v>
      </c>
      <c r="H41" s="4">
        <f ca="1">T_ZZ[[#Totals],[Column6]]-T_ZZ[[#This Row],[Column6]]</f>
        <v>2</v>
      </c>
      <c r="I41" s="4" t="str">
        <f ca="1">REPT(" ",T_ZZ[[#This Row],[Column7]]+1)</f>
        <v xml:space="preserve">   </v>
      </c>
      <c r="J41" s="3" t="str">
        <f ca="1">T_ZZ[[#This Row],[1]]&amp;T_ZZ[[#This Row],[1Spc]]&amp;T_ZZ[[#This Row],[Column5]]&amp;T_ZZ[[#This Row],[Column8]]&amp;"End Sub"</f>
        <v>Private Sub ZZ_B_OW_TblExcess():   BrwDrs Y_OW_TblExcess:   End Sub</v>
      </c>
    </row>
    <row r="42" spans="1:10" x14ac:dyDescent="0.35">
      <c r="A42" t="str">
        <f ca="1">Key!B41</f>
        <v>OW_All</v>
      </c>
      <c r="B42" t="str">
        <f ca="1">"Private Sub ZZ_B_"&amp;A42&amp;"():"</f>
        <v>Private Sub ZZ_B_OW_All():</v>
      </c>
      <c r="C42">
        <f ca="1">LEN(T_ZZ[[#This Row],[1]])</f>
        <v>26</v>
      </c>
      <c r="D42">
        <f ca="1">T_ZZ[[#Totals],[1Len]]-T_ZZ[[#This Row],[1Len]]</f>
        <v>8</v>
      </c>
      <c r="E42" t="str">
        <f ca="1">REPT(" ",T_ZZ[[#This Row],[1Filler]]+1)</f>
        <v xml:space="preserve">         </v>
      </c>
      <c r="F42" s="3" t="str">
        <f ca="1">"BrwDrs Y_"&amp;T_ZZ[[#This Row],[Key]]&amp;":"</f>
        <v>BrwDrs Y_OW_All:</v>
      </c>
      <c r="G42" s="4">
        <f ca="1">LEN(T_ZZ[[#This Row],[Column5]])</f>
        <v>16</v>
      </c>
      <c r="H42" s="4">
        <f ca="1">T_ZZ[[#Totals],[Column6]]-T_ZZ[[#This Row],[Column6]]</f>
        <v>8</v>
      </c>
      <c r="I42" s="4" t="str">
        <f ca="1">REPT(" ",T_ZZ[[#This Row],[Column7]]+1)</f>
        <v xml:space="preserve">         </v>
      </c>
      <c r="J42" s="3" t="str">
        <f ca="1">T_ZZ[[#This Row],[1]]&amp;T_ZZ[[#This Row],[1Spc]]&amp;T_ZZ[[#This Row],[Column5]]&amp;T_ZZ[[#This Row],[Column8]]&amp;"End Sub"</f>
        <v>Private Sub ZZ_B_OW_All():         BrwDrs Y_OW_All:         End Sub</v>
      </c>
    </row>
    <row r="43" spans="1:10" x14ac:dyDescent="0.35">
      <c r="A43" t="str">
        <f ca="1">Key!B42</f>
        <v>OEr</v>
      </c>
      <c r="B43" t="str">
        <f ca="1">"Private Sub ZZ_B_"&amp;A43&amp;"():"</f>
        <v>Private Sub ZZ_B_OEr():</v>
      </c>
      <c r="C43">
        <f ca="1">LEN(T_ZZ[[#This Row],[1]])</f>
        <v>23</v>
      </c>
      <c r="D43">
        <f ca="1">T_ZZ[[#Totals],[1Len]]-T_ZZ[[#This Row],[1Len]]</f>
        <v>11</v>
      </c>
      <c r="E43" t="str">
        <f ca="1">REPT(" ",T_ZZ[[#This Row],[1Filler]]+1)</f>
        <v xml:space="preserve">            </v>
      </c>
      <c r="F43" s="3" t="str">
        <f ca="1">"BrwDrs Y_"&amp;T_ZZ[[#This Row],[Key]]&amp;":"</f>
        <v>BrwDrs Y_OEr:</v>
      </c>
      <c r="G43" s="4">
        <f ca="1">LEN(T_ZZ[[#This Row],[Column5]])</f>
        <v>13</v>
      </c>
      <c r="H43" s="4">
        <f ca="1">T_ZZ[[#Totals],[Column6]]-T_ZZ[[#This Row],[Column6]]</f>
        <v>11</v>
      </c>
      <c r="I43" s="4" t="str">
        <f ca="1">REPT(" ",T_ZZ[[#This Row],[Column7]]+1)</f>
        <v xml:space="preserve">            </v>
      </c>
      <c r="J43" s="3" t="str">
        <f ca="1">T_ZZ[[#This Row],[1]]&amp;T_ZZ[[#This Row],[1Spc]]&amp;T_ZZ[[#This Row],[Column5]]&amp;T_ZZ[[#This Row],[Column8]]&amp;"End Sub"</f>
        <v>Private Sub ZZ_B_OEr():            BrwDrs Y_OEr:            End Sub</v>
      </c>
    </row>
    <row r="44" spans="1:10" x14ac:dyDescent="0.35">
      <c r="A44" t="s">
        <v>0</v>
      </c>
      <c r="C44">
        <f ca="1">SUBTOTAL(104,T_ZZ[1Len])</f>
        <v>34</v>
      </c>
      <c r="G44">
        <f ca="1">SUBTOTAL(104,T_ZZ[Column6])</f>
        <v>24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634D08-5015-48D6-88F6-3F05D7D7C1D8}">
  <sheetPr codeName="WsY">
    <outlinePr summaryRight="0"/>
  </sheetPr>
  <dimension ref="A1:AO36"/>
  <sheetViews>
    <sheetView topLeftCell="S9" workbookViewId="0">
      <selection activeCell="T9" sqref="T9"/>
    </sheetView>
  </sheetViews>
  <sheetFormatPr defaultRowHeight="14.5" outlineLevelCol="1" x14ac:dyDescent="0.35"/>
  <cols>
    <col min="1" max="1" width="15.6328125" bestFit="1" customWidth="1"/>
    <col min="2" max="2" width="7.54296875" style="36" customWidth="1" outlineLevel="1"/>
    <col min="3" max="3" width="7.81640625" style="36" customWidth="1" outlineLevel="1"/>
    <col min="4" max="13" width="10.54296875" style="23" customWidth="1" outlineLevel="1"/>
    <col min="14" max="14" width="9.36328125" customWidth="1" outlineLevel="1"/>
    <col min="15" max="17" width="15.6328125" customWidth="1" outlineLevel="1"/>
    <col min="18" max="18" width="6.36328125" customWidth="1" outlineLevel="1"/>
    <col min="19" max="20" width="6.08984375" customWidth="1" outlineLevel="1"/>
    <col min="21" max="27" width="16.7265625" customWidth="1" outlineLevel="1"/>
    <col min="28" max="28" width="175.453125" bestFit="1" customWidth="1"/>
    <col min="29" max="29" width="15.08984375" style="3" customWidth="1"/>
  </cols>
  <sheetData>
    <row r="1" spans="1:41" x14ac:dyDescent="0.35">
      <c r="AB1" s="32"/>
      <c r="AC1"/>
    </row>
    <row r="2" spans="1:41" x14ac:dyDescent="0.35">
      <c r="U2" t="s">
        <v>103</v>
      </c>
      <c r="AB2" s="3"/>
      <c r="AC2"/>
    </row>
    <row r="3" spans="1:41" x14ac:dyDescent="0.35">
      <c r="A3" t="s">
        <v>98</v>
      </c>
      <c r="B3" s="36" t="s">
        <v>107</v>
      </c>
      <c r="C3" s="36" t="s">
        <v>99</v>
      </c>
      <c r="D3" s="23" t="s">
        <v>88</v>
      </c>
      <c r="E3" s="23" t="s">
        <v>89</v>
      </c>
      <c r="F3" s="23" t="s">
        <v>90</v>
      </c>
      <c r="G3" s="23" t="s">
        <v>91</v>
      </c>
      <c r="H3" s="23" t="s">
        <v>92</v>
      </c>
      <c r="I3" s="23" t="s">
        <v>10</v>
      </c>
      <c r="J3" s="23" t="s">
        <v>11</v>
      </c>
      <c r="K3" s="23" t="s">
        <v>12</v>
      </c>
      <c r="L3" s="23" t="s">
        <v>101</v>
      </c>
      <c r="M3" s="23" t="s">
        <v>102</v>
      </c>
      <c r="N3" t="s">
        <v>104</v>
      </c>
      <c r="O3" t="s">
        <v>110</v>
      </c>
      <c r="P3" t="s">
        <v>134</v>
      </c>
      <c r="Q3" t="s">
        <v>135</v>
      </c>
      <c r="R3" s="24" t="s">
        <v>109</v>
      </c>
      <c r="S3" t="s">
        <v>111</v>
      </c>
      <c r="T3" t="s">
        <v>115</v>
      </c>
      <c r="U3" t="s">
        <v>105</v>
      </c>
      <c r="V3" t="s">
        <v>112</v>
      </c>
      <c r="W3" t="s">
        <v>106</v>
      </c>
      <c r="X3" t="s">
        <v>113</v>
      </c>
      <c r="Y3" s="24" t="s">
        <v>114</v>
      </c>
      <c r="Z3" s="24" t="s">
        <v>116</v>
      </c>
      <c r="AA3" s="24" t="s">
        <v>117</v>
      </c>
      <c r="AB3" s="3" t="s">
        <v>14</v>
      </c>
      <c r="AC3"/>
    </row>
    <row r="4" spans="1:41" x14ac:dyDescent="0.35">
      <c r="A4" t="str">
        <f>Src!A7</f>
        <v>IInpFil</v>
      </c>
      <c r="B4" s="36" t="str">
        <f>VLOOKUP(T_Y[[#This Row],[Key]],T_Src[],4,FALSE)</f>
        <v>Fun</v>
      </c>
      <c r="C4" s="36">
        <f>VLOOKUP(T_Y[[#This Row],[Key]],T_Src[],5,FALSE)</f>
        <v>3</v>
      </c>
      <c r="D4" s="23" t="str">
        <f>VLOOKUP(T_Y[[#This Row],[Key]],T_Src[],Fm1Col,FALSE)</f>
        <v>L Lin Fn Ffn</v>
      </c>
      <c r="E4" s="23" t="str">
        <f>VLOOKUP(T_Y[[#This Row],[Key]],T_Src[],Fm2Col,FALSE)</f>
        <v>InpFilSrc</v>
      </c>
      <c r="F4" s="23">
        <f>VLOOKUP(T_Y[[#This Row],[Key]],T_Src[],Fm3Col,FALSE)</f>
        <v>0</v>
      </c>
      <c r="G4" s="23">
        <f>VLOOKUP(T_Y[[#This Row],[Key]],T_Src[],Fm4Col,FALSE)</f>
        <v>0</v>
      </c>
      <c r="H4" s="23">
        <f>VLOOKUP(T_Y[[#This Row],[Key]],T_Src[],Fm5Col,FALSE)</f>
        <v>0</v>
      </c>
      <c r="I4" s="23" t="str">
        <f>IF(T_Y[[#This Row],[Fm1]]=0,"","Y_"&amp;T_Y[[#This Row],[Fm1]])&amp;", "</f>
        <v xml:space="preserve">Y_L Lin Fn Ffn, </v>
      </c>
      <c r="J4" s="23" t="str">
        <f>IF(T_Y[[#This Row],[Fm2]]=0,"","Y_"&amp;T_Y[[#This Row],[Fm2]]&amp;", ")</f>
        <v xml:space="preserve">Y_InpFilSrc, </v>
      </c>
      <c r="K4" s="23" t="str">
        <f>IF(T_Y[[#This Row],[Fm3]]=0,"","Y_"&amp;T_Y[[#This Row],[Fm3]]&amp;", ")</f>
        <v/>
      </c>
      <c r="L4" s="23" t="str">
        <f>IF(T_Y[[#This Row],[Fm4]]=0,"","Y_"&amp;T_Y[[#This Row],[Fm4]]&amp;", ")</f>
        <v/>
      </c>
      <c r="M4" s="23" t="str">
        <f>IF(T_Y[[#This Row],[Fm5]]=0,"","Y_"&amp;T_Y[[#This Row],[Fm5]]&amp;", ")</f>
        <v/>
      </c>
      <c r="N4" s="4" t="str">
        <f>"Private Function Y_"&amp;T_Y[1Nm]&amp;T_Y[1Sfx]&amp;"()"&amp;T_Y[1As]&amp;T_Y[1:]</f>
        <v xml:space="preserve">Private Function Y_IInpFilFun() As 3:        </v>
      </c>
      <c r="O4" s="4" t="str">
        <f>T_Y[[#This Row],[Key]]</f>
        <v>IInpFil</v>
      </c>
      <c r="P4" s="4" t="str">
        <f>IF(T_Y[FnSfx]=0,"",T_Y[FnSfx])</f>
        <v>Fun</v>
      </c>
      <c r="Q4" s="4" t="str">
        <f>IF(T_Y[RetTy]=0,""," As "&amp;T_Y[RetTy])</f>
        <v xml:space="preserve"> As 3</v>
      </c>
      <c r="R4" s="4" t="str">
        <f>":"&amp;REPT(" ",T_Y[[#This Row],[1Filler]]+1)</f>
        <v xml:space="preserve">:        </v>
      </c>
      <c r="S4" s="4">
        <f>LEN(T_Y[1Nm])</f>
        <v>7</v>
      </c>
      <c r="T4" s="4">
        <f>T_Y[[#Totals],[1Len]]-T_Y[[#This Row],[1Len]]</f>
        <v>7</v>
      </c>
      <c r="U4" s="4" t="str">
        <f>T_Y[[#This Row],[2Spc]]&amp;"Y_"&amp;T_Y[[#This Row],[Key]]&amp;" = "</f>
        <v xml:space="preserve">       Y_IInpFil = </v>
      </c>
      <c r="V4" s="4" t="str">
        <f>REPT(" ",T_Y[[#This Row],[1Filler]])</f>
        <v xml:space="preserve">       </v>
      </c>
      <c r="W4" s="4" t="e">
        <f>"B_"&amp;T_Y[[#This Row],[Key]]&amp;"("&amp;T_Y[[#This Row],[3Pm]]&amp;"):"&amp;T_Y[3Spc]</f>
        <v>#NULL!</v>
      </c>
      <c r="X4" s="23" t="e">
        <f>#NULL!</f>
        <v>#NULL!</v>
      </c>
      <c r="Y4" s="4" t="e">
        <f>REPT(" ",T_Y[[#This Row],[1Filler]]+T_Y[[#This Row],[3PmFiller]])</f>
        <v>#NULL!</v>
      </c>
      <c r="Z4" s="4" t="e">
        <f>LEN(T_Y[[#This Row],[3Pm]])</f>
        <v>#NULL!</v>
      </c>
      <c r="AA4" s="4" t="e">
        <f>T_Y[[#Totals],[3PmLen]]-T_Y[[#This Row],[3PmLen]]</f>
        <v>#NULL!</v>
      </c>
      <c r="AB4" s="6" t="e">
        <f>T_Y[[#This Row],[1]]&amp;T_Y[[#This Row],[2]]&amp;T_Y[[#This Row],[3]]&amp;"End Function"</f>
        <v>#NULL!</v>
      </c>
      <c r="AC4"/>
      <c r="AD4" s="7"/>
    </row>
    <row r="5" spans="1:41" x14ac:dyDescent="0.35">
      <c r="A5" t="str">
        <f>Src!A8</f>
        <v>ILnkImp</v>
      </c>
      <c r="B5" s="36" t="str">
        <f>VLOOKUP(T_Y[[#This Row],[Key]],T_Src[],4,FALSE)</f>
        <v>Fun</v>
      </c>
      <c r="C5" s="36">
        <f>VLOOKUP(T_Y[[#This Row],[Key]],T_Src[],5,FALSE)</f>
        <v>4</v>
      </c>
      <c r="D5" s="23" t="str">
        <f>VLOOKUP(T_Y[[#This Row],[Key]],T_Src[],Fm1Col,FALSE)</f>
        <v>L Lin IsHdr IsRmk T1 Rst</v>
      </c>
      <c r="E5" s="23" t="str">
        <f>VLOOKUP(T_Y[[#This Row],[Key]],T_Src[],Fm2Col,FALSE)</f>
        <v>LnkImpSrc</v>
      </c>
      <c r="F5" s="23">
        <f>VLOOKUP(T_Y[[#This Row],[Key]],T_Src[],Fm3Col,FALSE)</f>
        <v>0</v>
      </c>
      <c r="G5" s="23">
        <f>VLOOKUP(T_Y[[#This Row],[Key]],T_Src[],Fm4Col,FALSE)</f>
        <v>0</v>
      </c>
      <c r="H5" s="23">
        <f>VLOOKUP(T_Y[[#This Row],[Key]],T_Src[],Fm5Col,FALSE)</f>
        <v>0</v>
      </c>
      <c r="I5" s="23" t="str">
        <f>IF(T_Y[[#This Row],[Fm1]]=0,"","Y_"&amp;T_Y[[#This Row],[Fm1]])&amp;", "</f>
        <v xml:space="preserve">Y_L Lin IsHdr IsRmk T1 Rst, </v>
      </c>
      <c r="J5" s="23" t="str">
        <f>IF(T_Y[[#This Row],[Fm2]]=0,"","Y_"&amp;T_Y[[#This Row],[Fm2]]&amp;", ")</f>
        <v xml:space="preserve">Y_LnkImpSrc, </v>
      </c>
      <c r="K5" s="23" t="str">
        <f>IF(T_Y[[#This Row],[Fm3]]=0,"","Y_"&amp;T_Y[[#This Row],[Fm3]]&amp;", ")</f>
        <v/>
      </c>
      <c r="L5" s="23" t="str">
        <f>IF(T_Y[[#This Row],[Fm4]]=0,"","Y_"&amp;T_Y[[#This Row],[Fm4]]&amp;", ")</f>
        <v/>
      </c>
      <c r="M5" s="23" t="str">
        <f>IF(T_Y[[#This Row],[Fm5]]=0,"","Y_"&amp;T_Y[[#This Row],[Fm5]]&amp;", ")</f>
        <v/>
      </c>
      <c r="N5" s="4" t="str">
        <f>"Private Function Y_"&amp;T_Y[1Nm]&amp;T_Y[1Sfx]&amp;"()"&amp;T_Y[1As]&amp;T_Y[1:]</f>
        <v xml:space="preserve">Private Function Y_ILnkImpFun() As 4:        </v>
      </c>
      <c r="O5" s="4" t="str">
        <f>T_Y[[#This Row],[Key]]</f>
        <v>ILnkImp</v>
      </c>
      <c r="P5" s="4" t="str">
        <f>IF(T_Y[FnSfx]=0,"",T_Y[FnSfx])</f>
        <v>Fun</v>
      </c>
      <c r="Q5" s="4" t="str">
        <f>IF(T_Y[RetTy]=0,""," As "&amp;T_Y[RetTy])</f>
        <v xml:space="preserve"> As 4</v>
      </c>
      <c r="R5" s="4" t="str">
        <f>":"&amp;REPT(" ",T_Y[[#This Row],[1Filler]]+1)</f>
        <v xml:space="preserve">:        </v>
      </c>
      <c r="S5" s="4">
        <f>LEN(T_Y[1Nm])</f>
        <v>7</v>
      </c>
      <c r="T5" s="4">
        <f>T_Y[[#Totals],[1Len]]-T_Y[[#This Row],[1Len]]</f>
        <v>7</v>
      </c>
      <c r="U5" s="4" t="str">
        <f>T_Y[[#This Row],[2Spc]]&amp;"Y_"&amp;T_Y[[#This Row],[Key]]&amp;" = "</f>
        <v xml:space="preserve">       Y_ILnkImp = </v>
      </c>
      <c r="V5" s="4" t="str">
        <f>REPT(" ",T_Y[[#This Row],[1Filler]])</f>
        <v xml:space="preserve">       </v>
      </c>
      <c r="W5" s="4" t="e">
        <f>"B_"&amp;T_Y[[#This Row],[Key]]&amp;"("&amp;T_Y[[#This Row],[3Pm]]&amp;"):"&amp;T_Y[3Spc]</f>
        <v>#NULL!</v>
      </c>
      <c r="X5" s="23" t="e">
        <f>#NULL!</f>
        <v>#NULL!</v>
      </c>
      <c r="Y5" s="4" t="e">
        <f>REPT(" ",T_Y[[#This Row],[1Filler]]+T_Y[[#This Row],[3PmFiller]])</f>
        <v>#NULL!</v>
      </c>
      <c r="Z5" s="4" t="e">
        <f>LEN(T_Y[[#This Row],[3Pm]])</f>
        <v>#NULL!</v>
      </c>
      <c r="AA5" s="4" t="e">
        <f>T_Y[[#Totals],[3PmLen]]-T_Y[[#This Row],[3PmLen]]</f>
        <v>#NULL!</v>
      </c>
      <c r="AB5" s="6" t="e">
        <f>T_Y[[#This Row],[1]]&amp;T_Y[[#This Row],[2]]&amp;T_Y[[#This Row],[3]]&amp;"End Function"</f>
        <v>#NULL!</v>
      </c>
      <c r="AC5"/>
      <c r="AD5" s="7"/>
      <c r="AO5">
        <v>2</v>
      </c>
    </row>
    <row r="6" spans="1:41" x14ac:dyDescent="0.35">
      <c r="A6" t="str">
        <f>Src!A9</f>
        <v>JStru</v>
      </c>
      <c r="B6" s="36" t="str">
        <f>VLOOKUP(T_Y[[#This Row],[Key]],T_Src[],4,FALSE)</f>
        <v>Fun</v>
      </c>
      <c r="C6" s="36">
        <f>VLOOKUP(T_Y[[#This Row],[Key]],T_Src[],5,FALSE)</f>
        <v>5</v>
      </c>
      <c r="D6" s="23" t="str">
        <f>VLOOKUP(T_Y[[#This Row],[Key]],T_Src[],Fm1Col,FALSE)</f>
        <v>L Stru</v>
      </c>
      <c r="E6" s="23" t="str">
        <f>VLOOKUP(T_Y[[#This Row],[Key]],T_Src[],Fm2Col,FALSE)</f>
        <v>ILnkImp</v>
      </c>
      <c r="F6" s="23">
        <f>VLOOKUP(T_Y[[#This Row],[Key]],T_Src[],Fm3Col,FALSE)</f>
        <v>0</v>
      </c>
      <c r="G6" s="23">
        <f>VLOOKUP(T_Y[[#This Row],[Key]],T_Src[],Fm4Col,FALSE)</f>
        <v>0</v>
      </c>
      <c r="H6" s="23">
        <f>VLOOKUP(T_Y[[#This Row],[Key]],T_Src[],Fm5Col,FALSE)</f>
        <v>0</v>
      </c>
      <c r="I6" s="23" t="str">
        <f>IF(T_Y[[#This Row],[Fm1]]=0,"","Y_"&amp;T_Y[[#This Row],[Fm1]])&amp;", "</f>
        <v xml:space="preserve">Y_L Stru, </v>
      </c>
      <c r="J6" s="23" t="str">
        <f>IF(T_Y[[#This Row],[Fm2]]=0,"","Y_"&amp;T_Y[[#This Row],[Fm2]]&amp;", ")</f>
        <v xml:space="preserve">Y_ILnkImp, </v>
      </c>
      <c r="K6" s="23" t="str">
        <f>IF(T_Y[[#This Row],[Fm3]]=0,"","Y_"&amp;T_Y[[#This Row],[Fm3]]&amp;", ")</f>
        <v/>
      </c>
      <c r="L6" s="23" t="str">
        <f>IF(T_Y[[#This Row],[Fm4]]=0,"","Y_"&amp;T_Y[[#This Row],[Fm4]]&amp;", ")</f>
        <v/>
      </c>
      <c r="M6" s="23" t="str">
        <f>IF(T_Y[[#This Row],[Fm5]]=0,"","Y_"&amp;T_Y[[#This Row],[Fm5]]&amp;", ")</f>
        <v/>
      </c>
      <c r="N6" s="4" t="str">
        <f>"Private Function Y_"&amp;T_Y[1Nm]&amp;T_Y[1Sfx]&amp;"()"&amp;T_Y[1As]&amp;T_Y[1:]</f>
        <v xml:space="preserve">Private Function Y_JStruFun() As 5:          </v>
      </c>
      <c r="O6" s="4" t="str">
        <f>T_Y[[#This Row],[Key]]</f>
        <v>JStru</v>
      </c>
      <c r="P6" s="4" t="str">
        <f>IF(T_Y[FnSfx]=0,"",T_Y[FnSfx])</f>
        <v>Fun</v>
      </c>
      <c r="Q6" s="4" t="str">
        <f>IF(T_Y[RetTy]=0,""," As "&amp;T_Y[RetTy])</f>
        <v xml:space="preserve"> As 5</v>
      </c>
      <c r="R6" s="4" t="str">
        <f>":"&amp;REPT(" ",T_Y[[#This Row],[1Filler]]+1)</f>
        <v xml:space="preserve">:          </v>
      </c>
      <c r="S6" s="4">
        <f>LEN(T_Y[1Nm])</f>
        <v>5</v>
      </c>
      <c r="T6" s="4">
        <f>T_Y[[#Totals],[1Len]]-T_Y[[#This Row],[1Len]]</f>
        <v>9</v>
      </c>
      <c r="U6" s="4" t="str">
        <f>T_Y[[#This Row],[2Spc]]&amp;"Y_"&amp;T_Y[[#This Row],[Key]]&amp;" = "</f>
        <v xml:space="preserve">         Y_JStru = </v>
      </c>
      <c r="V6" s="4" t="str">
        <f>REPT(" ",T_Y[[#This Row],[1Filler]])</f>
        <v xml:space="preserve">         </v>
      </c>
      <c r="W6" s="4" t="e">
        <f>"B_"&amp;T_Y[[#This Row],[Key]]&amp;"("&amp;T_Y[[#This Row],[3Pm]]&amp;"):"&amp;T_Y[3Spc]</f>
        <v>#NULL!</v>
      </c>
      <c r="X6" s="23" t="e">
        <f>#NULL!</f>
        <v>#NULL!</v>
      </c>
      <c r="Y6" s="4" t="e">
        <f>REPT(" ",T_Y[[#This Row],[1Filler]]+T_Y[[#This Row],[3PmFiller]])</f>
        <v>#NULL!</v>
      </c>
      <c r="Z6" s="4" t="e">
        <f>LEN(T_Y[[#This Row],[3Pm]])</f>
        <v>#NULL!</v>
      </c>
      <c r="AA6" s="4" t="e">
        <f>T_Y[[#Totals],[3PmLen]]-T_Y[[#This Row],[3PmLen]]</f>
        <v>#NULL!</v>
      </c>
      <c r="AB6" s="6" t="e">
        <f>T_Y[[#This Row],[1]]&amp;T_Y[[#This Row],[2]]&amp;T_Y[[#This Row],[3]]&amp;"End Function"</f>
        <v>#NULL!</v>
      </c>
      <c r="AC6"/>
      <c r="AD6" s="7"/>
      <c r="AO6">
        <v>5</v>
      </c>
    </row>
    <row r="7" spans="1:41" x14ac:dyDescent="0.35">
      <c r="A7" t="str">
        <f>Src!A10</f>
        <v>JStruF</v>
      </c>
      <c r="B7" s="36" t="str">
        <f>VLOOKUP(T_Y[[#This Row],[Key]],T_Src[],4,FALSE)</f>
        <v>Fun</v>
      </c>
      <c r="C7" s="36">
        <f>VLOOKUP(T_Y[[#This Row],[Key]],T_Src[],5,FALSE)</f>
        <v>6</v>
      </c>
      <c r="D7" s="23" t="str">
        <f>VLOOKUP(T_Y[[#This Row],[Key]],T_Src[],Fm1Col,FALSE)</f>
        <v>L Stru F Ty Extn</v>
      </c>
      <c r="E7" s="23" t="str">
        <f>VLOOKUP(T_Y[[#This Row],[Key]],T_Src[],Fm2Col,FALSE)</f>
        <v>ILnkImp</v>
      </c>
      <c r="F7" s="23">
        <f>VLOOKUP(T_Y[[#This Row],[Key]],T_Src[],Fm3Col,FALSE)</f>
        <v>0</v>
      </c>
      <c r="G7" s="23">
        <f>VLOOKUP(T_Y[[#This Row],[Key]],T_Src[],Fm4Col,FALSE)</f>
        <v>0</v>
      </c>
      <c r="H7" s="23">
        <f>VLOOKUP(T_Y[[#This Row],[Key]],T_Src[],Fm5Col,FALSE)</f>
        <v>0</v>
      </c>
      <c r="I7" s="23" t="str">
        <f>IF(T_Y[[#This Row],[Fm1]]=0,"","Y_"&amp;T_Y[[#This Row],[Fm1]])&amp;", "</f>
        <v xml:space="preserve">Y_L Stru F Ty Extn, </v>
      </c>
      <c r="J7" s="23" t="str">
        <f>IF(T_Y[[#This Row],[Fm2]]=0,"","Y_"&amp;T_Y[[#This Row],[Fm2]]&amp;", ")</f>
        <v xml:space="preserve">Y_ILnkImp, </v>
      </c>
      <c r="K7" s="23" t="str">
        <f>IF(T_Y[[#This Row],[Fm3]]=0,"","Y_"&amp;T_Y[[#This Row],[Fm3]]&amp;", ")</f>
        <v/>
      </c>
      <c r="L7" s="23" t="str">
        <f>IF(T_Y[[#This Row],[Fm4]]=0,"","Y_"&amp;T_Y[[#This Row],[Fm4]]&amp;", ")</f>
        <v/>
      </c>
      <c r="M7" s="23" t="str">
        <f>IF(T_Y[[#This Row],[Fm5]]=0,"","Y_"&amp;T_Y[[#This Row],[Fm5]]&amp;", ")</f>
        <v/>
      </c>
      <c r="N7" s="4" t="str">
        <f>"Private Function Y_"&amp;T_Y[1Nm]&amp;T_Y[1Sfx]&amp;"()"&amp;T_Y[1As]&amp;T_Y[1:]</f>
        <v xml:space="preserve">Private Function Y_JStruFFun() As 6:         </v>
      </c>
      <c r="O7" s="4" t="str">
        <f>T_Y[[#This Row],[Key]]</f>
        <v>JStruF</v>
      </c>
      <c r="P7" s="4" t="str">
        <f>IF(T_Y[FnSfx]=0,"",T_Y[FnSfx])</f>
        <v>Fun</v>
      </c>
      <c r="Q7" s="4" t="str">
        <f>IF(T_Y[RetTy]=0,""," As "&amp;T_Y[RetTy])</f>
        <v xml:space="preserve"> As 6</v>
      </c>
      <c r="R7" s="4" t="str">
        <f>":"&amp;REPT(" ",T_Y[[#This Row],[1Filler]]+1)</f>
        <v xml:space="preserve">:         </v>
      </c>
      <c r="S7" s="4">
        <f>LEN(T_Y[1Nm])</f>
        <v>6</v>
      </c>
      <c r="T7" s="4">
        <f>T_Y[[#Totals],[1Len]]-T_Y[[#This Row],[1Len]]</f>
        <v>8</v>
      </c>
      <c r="U7" s="4" t="str">
        <f>T_Y[[#This Row],[2Spc]]&amp;"Y_"&amp;T_Y[[#This Row],[Key]]&amp;" = "</f>
        <v xml:space="preserve">        Y_JStruF = </v>
      </c>
      <c r="V7" s="4" t="str">
        <f>REPT(" ",T_Y[[#This Row],[1Filler]])</f>
        <v xml:space="preserve">        </v>
      </c>
      <c r="W7" s="4" t="e">
        <f>"B_"&amp;T_Y[[#This Row],[Key]]&amp;"("&amp;T_Y[[#This Row],[3Pm]]&amp;"):"&amp;T_Y[3Spc]</f>
        <v>#NULL!</v>
      </c>
      <c r="X7" s="23" t="e">
        <f>#NULL!</f>
        <v>#NULL!</v>
      </c>
      <c r="Y7" s="4" t="e">
        <f>REPT(" ",T_Y[[#This Row],[1Filler]]+T_Y[[#This Row],[3PmFiller]])</f>
        <v>#NULL!</v>
      </c>
      <c r="Z7" s="4" t="e">
        <f>LEN(T_Y[[#This Row],[3Pm]])</f>
        <v>#NULL!</v>
      </c>
      <c r="AA7" s="4" t="e">
        <f>T_Y[[#Totals],[3PmLen]]-T_Y[[#This Row],[3PmLen]]</f>
        <v>#NULL!</v>
      </c>
      <c r="AB7" s="6" t="e">
        <f>T_Y[[#This Row],[1]]&amp;T_Y[[#This Row],[2]]&amp;T_Y[[#This Row],[3]]&amp;"End Function"</f>
        <v>#NULL!</v>
      </c>
      <c r="AC7"/>
    </row>
    <row r="8" spans="1:41" x14ac:dyDescent="0.35">
      <c r="A8" t="str">
        <f>Src!A11</f>
        <v>JFxTbl</v>
      </c>
      <c r="B8" s="36" t="str">
        <f>VLOOKUP(T_Y[[#This Row],[Key]],T_Src[],4,FALSE)</f>
        <v>Fun</v>
      </c>
      <c r="C8" s="36">
        <f>VLOOKUP(T_Y[[#This Row],[Key]],T_Src[],5,FALSE)</f>
        <v>7</v>
      </c>
      <c r="D8" s="23" t="str">
        <f>VLOOKUP(T_Y[[#This Row],[Key]],T_Src[],Fm1Col,FALSE)</f>
        <v>L T Fxn Wsn Stru</v>
      </c>
      <c r="E8" s="23" t="str">
        <f>VLOOKUP(T_Y[[#This Row],[Key]],T_Src[],Fm2Col,FALSE)</f>
        <v>ILnkImp</v>
      </c>
      <c r="F8" s="23">
        <f>VLOOKUP(T_Y[[#This Row],[Key]],T_Src[],Fm3Col,FALSE)</f>
        <v>0</v>
      </c>
      <c r="G8" s="23">
        <f>VLOOKUP(T_Y[[#This Row],[Key]],T_Src[],Fm4Col,FALSE)</f>
        <v>0</v>
      </c>
      <c r="H8" s="23">
        <f>VLOOKUP(T_Y[[#This Row],[Key]],T_Src[],Fm5Col,FALSE)</f>
        <v>0</v>
      </c>
      <c r="I8" s="23" t="str">
        <f>IF(T_Y[[#This Row],[Fm1]]=0,"","Y_"&amp;T_Y[[#This Row],[Fm1]])&amp;", "</f>
        <v xml:space="preserve">Y_L T Fxn Wsn Stru, </v>
      </c>
      <c r="J8" s="23" t="str">
        <f>IF(T_Y[[#This Row],[Fm2]]=0,"","Y_"&amp;T_Y[[#This Row],[Fm2]]&amp;", ")</f>
        <v xml:space="preserve">Y_ILnkImp, </v>
      </c>
      <c r="K8" s="23" t="str">
        <f>IF(T_Y[[#This Row],[Fm3]]=0,"","Y_"&amp;T_Y[[#This Row],[Fm3]]&amp;", ")</f>
        <v/>
      </c>
      <c r="L8" s="23" t="str">
        <f>IF(T_Y[[#This Row],[Fm4]]=0,"","Y_"&amp;T_Y[[#This Row],[Fm4]]&amp;", ")</f>
        <v/>
      </c>
      <c r="M8" s="23" t="str">
        <f>IF(T_Y[[#This Row],[Fm5]]=0,"","Y_"&amp;T_Y[[#This Row],[Fm5]]&amp;", ")</f>
        <v/>
      </c>
      <c r="N8" s="4" t="str">
        <f>"Private Function Y_"&amp;T_Y[1Nm]&amp;T_Y[1Sfx]&amp;"()"&amp;T_Y[1As]&amp;T_Y[1:]</f>
        <v xml:space="preserve">Private Function Y_JFxTblFun() As 7:         </v>
      </c>
      <c r="O8" s="4" t="str">
        <f>T_Y[[#This Row],[Key]]</f>
        <v>JFxTbl</v>
      </c>
      <c r="P8" s="4" t="str">
        <f>IF(T_Y[FnSfx]=0,"",T_Y[FnSfx])</f>
        <v>Fun</v>
      </c>
      <c r="Q8" s="4" t="str">
        <f>IF(T_Y[RetTy]=0,""," As "&amp;T_Y[RetTy])</f>
        <v xml:space="preserve"> As 7</v>
      </c>
      <c r="R8" s="4" t="str">
        <f>":"&amp;REPT(" ",T_Y[[#This Row],[1Filler]]+1)</f>
        <v xml:space="preserve">:         </v>
      </c>
      <c r="S8" s="4">
        <f>LEN(T_Y[1Nm])</f>
        <v>6</v>
      </c>
      <c r="T8" s="4">
        <f>T_Y[[#Totals],[1Len]]-T_Y[[#This Row],[1Len]]</f>
        <v>8</v>
      </c>
      <c r="U8" s="4" t="str">
        <f>T_Y[[#This Row],[2Spc]]&amp;"Y_"&amp;T_Y[[#This Row],[Key]]&amp;" = "</f>
        <v xml:space="preserve">        Y_JFxTbl = </v>
      </c>
      <c r="V8" s="4" t="str">
        <f>REPT(" ",T_Y[[#This Row],[1Filler]])</f>
        <v xml:space="preserve">        </v>
      </c>
      <c r="W8" s="4" t="e">
        <f>"B_"&amp;T_Y[[#This Row],[Key]]&amp;"("&amp;T_Y[[#This Row],[3Pm]]&amp;"):"&amp;T_Y[3Spc]</f>
        <v>#NULL!</v>
      </c>
      <c r="X8" s="23" t="e">
        <f>#NULL!</f>
        <v>#NULL!</v>
      </c>
      <c r="Y8" s="4" t="e">
        <f>REPT(" ",T_Y[[#This Row],[1Filler]]+T_Y[[#This Row],[3PmFiller]])</f>
        <v>#NULL!</v>
      </c>
      <c r="Z8" s="4" t="e">
        <f>LEN(T_Y[[#This Row],[3Pm]])</f>
        <v>#NULL!</v>
      </c>
      <c r="AA8" s="4" t="e">
        <f>T_Y[[#Totals],[3PmLen]]-T_Y[[#This Row],[3PmLen]]</f>
        <v>#NULL!</v>
      </c>
      <c r="AB8" s="6" t="e">
        <f>T_Y[[#This Row],[1]]&amp;T_Y[[#This Row],[2]]&amp;T_Y[[#This Row],[3]]&amp;"End Function"</f>
        <v>#NULL!</v>
      </c>
      <c r="AC8"/>
    </row>
    <row r="9" spans="1:41" x14ac:dyDescent="0.35">
      <c r="A9" t="str">
        <f>Src!A12</f>
        <v>JFbTbl</v>
      </c>
      <c r="B9" s="36" t="str">
        <f>VLOOKUP(T_Y[[#This Row],[Key]],T_Src[],4,FALSE)</f>
        <v>Fun</v>
      </c>
      <c r="C9" s="36">
        <f>VLOOKUP(T_Y[[#This Row],[Key]],T_Src[],5,FALSE)</f>
        <v>8</v>
      </c>
      <c r="D9" s="23" t="str">
        <f>VLOOKUP(T_Y[[#This Row],[Key]],T_Src[],Fm1Col,FALSE)</f>
        <v>L Fbn Tss</v>
      </c>
      <c r="E9" s="23" t="str">
        <f>VLOOKUP(T_Y[[#This Row],[Key]],T_Src[],Fm2Col,FALSE)</f>
        <v>ILnkImp</v>
      </c>
      <c r="F9" s="23">
        <f>VLOOKUP(T_Y[[#This Row],[Key]],T_Src[],Fm3Col,FALSE)</f>
        <v>0</v>
      </c>
      <c r="G9" s="23">
        <f>VLOOKUP(T_Y[[#This Row],[Key]],T_Src[],Fm4Col,FALSE)</f>
        <v>0</v>
      </c>
      <c r="H9" s="23">
        <f>VLOOKUP(T_Y[[#This Row],[Key]],T_Src[],Fm5Col,FALSE)</f>
        <v>0</v>
      </c>
      <c r="I9" s="23" t="str">
        <f>IF(T_Y[[#This Row],[Fm1]]=0,"","Y_"&amp;T_Y[[#This Row],[Fm1]])&amp;", "</f>
        <v xml:space="preserve">Y_L Fbn Tss, </v>
      </c>
      <c r="J9" s="23" t="str">
        <f>IF(T_Y[[#This Row],[Fm2]]=0,"","Y_"&amp;T_Y[[#This Row],[Fm2]]&amp;", ")</f>
        <v xml:space="preserve">Y_ILnkImp, </v>
      </c>
      <c r="K9" s="23" t="str">
        <f>IF(T_Y[[#This Row],[Fm3]]=0,"","Y_"&amp;T_Y[[#This Row],[Fm3]]&amp;", ")</f>
        <v/>
      </c>
      <c r="L9" s="23" t="str">
        <f>IF(T_Y[[#This Row],[Fm4]]=0,"","Y_"&amp;T_Y[[#This Row],[Fm4]]&amp;", ")</f>
        <v/>
      </c>
      <c r="M9" s="23" t="str">
        <f>IF(T_Y[[#This Row],[Fm5]]=0,"","Y_"&amp;T_Y[[#This Row],[Fm5]]&amp;", ")</f>
        <v/>
      </c>
      <c r="N9" s="4" t="str">
        <f>"Private Function Y_"&amp;T_Y[1Nm]&amp;T_Y[1Sfx]&amp;"()"&amp;T_Y[1As]&amp;T_Y[1:]</f>
        <v xml:space="preserve">Private Function Y_JFbTblFun() As 8:         </v>
      </c>
      <c r="O9" s="4" t="str">
        <f>T_Y[[#This Row],[Key]]</f>
        <v>JFbTbl</v>
      </c>
      <c r="P9" s="4" t="str">
        <f>IF(T_Y[FnSfx]=0,"",T_Y[FnSfx])</f>
        <v>Fun</v>
      </c>
      <c r="Q9" s="4" t="str">
        <f>IF(T_Y[RetTy]=0,""," As "&amp;T_Y[RetTy])</f>
        <v xml:space="preserve"> As 8</v>
      </c>
      <c r="R9" s="4" t="str">
        <f>":"&amp;REPT(" ",T_Y[[#This Row],[1Filler]]+1)</f>
        <v xml:space="preserve">:         </v>
      </c>
      <c r="S9" s="4">
        <f>LEN(T_Y[1Nm])</f>
        <v>6</v>
      </c>
      <c r="T9" s="4">
        <f>T_Y[[#Totals],[1Len]]-T_Y[[#This Row],[1Len]]</f>
        <v>8</v>
      </c>
      <c r="U9" s="4" t="str">
        <f>T_Y[[#This Row],[2Spc]]&amp;"Y_"&amp;T_Y[[#This Row],[Key]]&amp;" = "</f>
        <v xml:space="preserve">        Y_JFbTbl = </v>
      </c>
      <c r="V9" s="4" t="str">
        <f>REPT(" ",T_Y[[#This Row],[1Filler]])</f>
        <v xml:space="preserve">        </v>
      </c>
      <c r="W9" s="4" t="e">
        <f>"B_"&amp;T_Y[[#This Row],[Key]]&amp;"("&amp;T_Y[[#This Row],[3Pm]]&amp;"):"&amp;T_Y[3Spc]</f>
        <v>#NULL!</v>
      </c>
      <c r="X9" s="23" t="e">
        <f>#NULL!</f>
        <v>#NULL!</v>
      </c>
      <c r="Y9" s="4" t="e">
        <f>REPT(" ",T_Y[[#This Row],[1Filler]]+T_Y[[#This Row],[3PmFiller]])</f>
        <v>#NULL!</v>
      </c>
      <c r="Z9" s="4" t="e">
        <f>LEN(T_Y[[#This Row],[3Pm]])</f>
        <v>#NULL!</v>
      </c>
      <c r="AA9" s="4" t="e">
        <f>T_Y[[#Totals],[3PmLen]]-T_Y[[#This Row],[3PmLen]]</f>
        <v>#NULL!</v>
      </c>
      <c r="AB9" s="6" t="e">
        <f>T_Y[[#This Row],[1]]&amp;T_Y[[#This Row],[2]]&amp;T_Y[[#This Row],[3]]&amp;"End Function"</f>
        <v>#NULL!</v>
      </c>
      <c r="AC9"/>
    </row>
    <row r="10" spans="1:41" x14ac:dyDescent="0.35">
      <c r="A10" t="str">
        <f>Src!A13</f>
        <v>JTblWh</v>
      </c>
      <c r="B10" s="36" t="str">
        <f>VLOOKUP(T_Y[[#This Row],[Key]],T_Src[],4,FALSE)</f>
        <v>Fun</v>
      </c>
      <c r="C10" s="36">
        <f>VLOOKUP(T_Y[[#This Row],[Key]],T_Src[],5,FALSE)</f>
        <v>9</v>
      </c>
      <c r="D10" s="23" t="str">
        <f>VLOOKUP(T_Y[[#This Row],[Key]],T_Src[],Fm1Col,FALSE)</f>
        <v>L T Wh</v>
      </c>
      <c r="E10" s="23" t="str">
        <f>VLOOKUP(T_Y[[#This Row],[Key]],T_Src[],Fm2Col,FALSE)</f>
        <v>ILnkImp</v>
      </c>
      <c r="F10" s="23">
        <f>VLOOKUP(T_Y[[#This Row],[Key]],T_Src[],Fm3Col,FALSE)</f>
        <v>0</v>
      </c>
      <c r="G10" s="23">
        <f>VLOOKUP(T_Y[[#This Row],[Key]],T_Src[],Fm4Col,FALSE)</f>
        <v>0</v>
      </c>
      <c r="H10" s="23">
        <f>VLOOKUP(T_Y[[#This Row],[Key]],T_Src[],Fm5Col,FALSE)</f>
        <v>0</v>
      </c>
      <c r="I10" s="23" t="str">
        <f>IF(T_Y[[#This Row],[Fm1]]=0,"","Y_"&amp;T_Y[[#This Row],[Fm1]])&amp;", "</f>
        <v xml:space="preserve">Y_L T Wh, </v>
      </c>
      <c r="J10" s="23" t="str">
        <f>IF(T_Y[[#This Row],[Fm2]]=0,"","Y_"&amp;T_Y[[#This Row],[Fm2]]&amp;", ")</f>
        <v xml:space="preserve">Y_ILnkImp, </v>
      </c>
      <c r="K10" s="23" t="str">
        <f>IF(T_Y[[#This Row],[Fm3]]=0,"","Y_"&amp;T_Y[[#This Row],[Fm3]]&amp;", ")</f>
        <v/>
      </c>
      <c r="L10" s="23" t="str">
        <f>IF(T_Y[[#This Row],[Fm4]]=0,"","Y_"&amp;T_Y[[#This Row],[Fm4]]&amp;", ")</f>
        <v/>
      </c>
      <c r="M10" s="23" t="str">
        <f>IF(T_Y[[#This Row],[Fm5]]=0,"","Y_"&amp;T_Y[[#This Row],[Fm5]]&amp;", ")</f>
        <v/>
      </c>
      <c r="N10" s="4" t="str">
        <f>"Private Function Y_"&amp;T_Y[1Nm]&amp;T_Y[1Sfx]&amp;"()"&amp;T_Y[1As]&amp;T_Y[1:]</f>
        <v xml:space="preserve">Private Function Y_JTblWhFun() As 9:         </v>
      </c>
      <c r="O10" s="4" t="str">
        <f>T_Y[[#This Row],[Key]]</f>
        <v>JTblWh</v>
      </c>
      <c r="P10" s="4" t="str">
        <f>IF(T_Y[FnSfx]=0,"",T_Y[FnSfx])</f>
        <v>Fun</v>
      </c>
      <c r="Q10" s="4" t="str">
        <f>IF(T_Y[RetTy]=0,""," As "&amp;T_Y[RetTy])</f>
        <v xml:space="preserve"> As 9</v>
      </c>
      <c r="R10" s="4" t="str">
        <f>":"&amp;REPT(" ",T_Y[[#This Row],[1Filler]]+1)</f>
        <v xml:space="preserve">:         </v>
      </c>
      <c r="S10" s="4">
        <f>LEN(T_Y[1Nm])</f>
        <v>6</v>
      </c>
      <c r="T10" s="4">
        <f>T_Y[[#Totals],[1Len]]-T_Y[[#This Row],[1Len]]</f>
        <v>8</v>
      </c>
      <c r="U10" s="4" t="str">
        <f>T_Y[[#This Row],[2Spc]]&amp;"Y_"&amp;T_Y[[#This Row],[Key]]&amp;" = "</f>
        <v xml:space="preserve">        Y_JTblWh = </v>
      </c>
      <c r="V10" s="4" t="str">
        <f>REPT(" ",T_Y[[#This Row],[1Filler]])</f>
        <v xml:space="preserve">        </v>
      </c>
      <c r="W10" s="4" t="e">
        <f>"B_"&amp;T_Y[[#This Row],[Key]]&amp;"("&amp;T_Y[[#This Row],[3Pm]]&amp;"):"&amp;T_Y[3Spc]</f>
        <v>#NULL!</v>
      </c>
      <c r="X10" s="23" t="e">
        <f>#NULL!</f>
        <v>#NULL!</v>
      </c>
      <c r="Y10" s="4" t="e">
        <f>REPT(" ",T_Y[[#This Row],[1Filler]]+T_Y[[#This Row],[3PmFiller]])</f>
        <v>#NULL!</v>
      </c>
      <c r="Z10" s="4" t="e">
        <f>LEN(T_Y[[#This Row],[3Pm]])</f>
        <v>#NULL!</v>
      </c>
      <c r="AA10" s="4" t="e">
        <f>T_Y[[#Totals],[3PmLen]]-T_Y[[#This Row],[3PmLen]]</f>
        <v>#NULL!</v>
      </c>
      <c r="AB10" s="6" t="e">
        <f>T_Y[[#This Row],[1]]&amp;T_Y[[#This Row],[2]]&amp;T_Y[[#This Row],[3]]&amp;"End Function"</f>
        <v>#NULL!</v>
      </c>
      <c r="AC10"/>
    </row>
    <row r="11" spans="1:41" x14ac:dyDescent="0.35">
      <c r="A11" t="str">
        <f>Src!A14</f>
        <v>TTbl</v>
      </c>
      <c r="B11" s="36" t="str">
        <f>VLOOKUP(T_Y[[#This Row],[Key]],T_Src[],4,FALSE)</f>
        <v>Fun</v>
      </c>
      <c r="C11" s="36">
        <f>VLOOKUP(T_Y[[#This Row],[Key]],T_Src[],5,FALSE)</f>
        <v>10</v>
      </c>
      <c r="D11" s="23" t="str">
        <f>VLOOKUP(T_Y[[#This Row],[Key]],T_Src[],Fm1Col,FALSE)</f>
        <v>T Stru Ffn Wsn FxOrFb</v>
      </c>
      <c r="E11" s="23" t="str">
        <f>VLOOKUP(T_Y[[#This Row],[Key]],T_Src[],Fm2Col,FALSE)</f>
        <v>JFxTbl</v>
      </c>
      <c r="F11" s="23" t="str">
        <f>VLOOKUP(T_Y[[#This Row],[Key]],T_Src[],Fm3Col,FALSE)</f>
        <v>JFbTbl</v>
      </c>
      <c r="G11" s="23">
        <f>VLOOKUP(T_Y[[#This Row],[Key]],T_Src[],Fm4Col,FALSE)</f>
        <v>0</v>
      </c>
      <c r="H11" s="23">
        <f>VLOOKUP(T_Y[[#This Row],[Key]],T_Src[],Fm5Col,FALSE)</f>
        <v>0</v>
      </c>
      <c r="I11" s="23" t="str">
        <f>IF(T_Y[[#This Row],[Fm1]]=0,"","Y_"&amp;T_Y[[#This Row],[Fm1]])&amp;", "</f>
        <v xml:space="preserve">Y_T Stru Ffn Wsn FxOrFb, </v>
      </c>
      <c r="J11" s="23" t="str">
        <f>IF(T_Y[[#This Row],[Fm2]]=0,"","Y_"&amp;T_Y[[#This Row],[Fm2]]&amp;", ")</f>
        <v xml:space="preserve">Y_JFxTbl, </v>
      </c>
      <c r="K11" s="23" t="str">
        <f>IF(T_Y[[#This Row],[Fm3]]=0,"","Y_"&amp;T_Y[[#This Row],[Fm3]]&amp;", ")</f>
        <v xml:space="preserve">Y_JFbTbl, </v>
      </c>
      <c r="L11" s="23" t="str">
        <f>IF(T_Y[[#This Row],[Fm4]]=0,"","Y_"&amp;T_Y[[#This Row],[Fm4]]&amp;", ")</f>
        <v/>
      </c>
      <c r="M11" s="23" t="str">
        <f>IF(T_Y[[#This Row],[Fm5]]=0,"","Y_"&amp;T_Y[[#This Row],[Fm5]]&amp;", ")</f>
        <v/>
      </c>
      <c r="N11" s="4" t="str">
        <f>"Private Function Y_"&amp;T_Y[1Nm]&amp;T_Y[1Sfx]&amp;"()"&amp;T_Y[1As]&amp;T_Y[1:]</f>
        <v xml:space="preserve">Private Function Y_TTblFun() As 10:           </v>
      </c>
      <c r="O11" s="4" t="str">
        <f>T_Y[[#This Row],[Key]]</f>
        <v>TTbl</v>
      </c>
      <c r="P11" s="4" t="str">
        <f>IF(T_Y[FnSfx]=0,"",T_Y[FnSfx])</f>
        <v>Fun</v>
      </c>
      <c r="Q11" s="4" t="str">
        <f>IF(T_Y[RetTy]=0,""," As "&amp;T_Y[RetTy])</f>
        <v xml:space="preserve"> As 10</v>
      </c>
      <c r="R11" s="4" t="str">
        <f>":"&amp;REPT(" ",T_Y[[#This Row],[1Filler]]+1)</f>
        <v xml:space="preserve">:           </v>
      </c>
      <c r="S11" s="4">
        <f>LEN(T_Y[1Nm])</f>
        <v>4</v>
      </c>
      <c r="T11" s="4">
        <f>T_Y[[#Totals],[1Len]]-T_Y[[#This Row],[1Len]]</f>
        <v>10</v>
      </c>
      <c r="U11" s="4" t="str">
        <f>T_Y[[#This Row],[2Spc]]&amp;"Y_"&amp;T_Y[[#This Row],[Key]]&amp;" = "</f>
        <v xml:space="preserve">          Y_TTbl = </v>
      </c>
      <c r="V11" s="4" t="str">
        <f>REPT(" ",T_Y[[#This Row],[1Filler]])</f>
        <v xml:space="preserve">          </v>
      </c>
      <c r="W11" s="4" t="e">
        <f>"B_"&amp;T_Y[[#This Row],[Key]]&amp;"("&amp;T_Y[[#This Row],[3Pm]]&amp;"):"&amp;T_Y[3Spc]</f>
        <v>#NULL!</v>
      </c>
      <c r="X11" s="23" t="e">
        <f>#NULL!</f>
        <v>#NULL!</v>
      </c>
      <c r="Y11" s="4" t="e">
        <f>REPT(" ",T_Y[[#This Row],[1Filler]]+T_Y[[#This Row],[3PmFiller]])</f>
        <v>#NULL!</v>
      </c>
      <c r="Z11" s="4" t="e">
        <f>LEN(T_Y[[#This Row],[3Pm]])</f>
        <v>#NULL!</v>
      </c>
      <c r="AA11" s="4" t="e">
        <f>T_Y[[#Totals],[3PmLen]]-T_Y[[#This Row],[3PmLen]]</f>
        <v>#NULL!</v>
      </c>
      <c r="AB11" s="6" t="e">
        <f>T_Y[[#This Row],[1]]&amp;T_Y[[#This Row],[2]]&amp;T_Y[[#This Row],[3]]&amp;"End Function"</f>
        <v>#NULL!</v>
      </c>
      <c r="AC11"/>
    </row>
    <row r="12" spans="1:41" x14ac:dyDescent="0.35">
      <c r="A12" t="str">
        <f>Src!A15</f>
        <v>TETblFld</v>
      </c>
      <c r="B12" s="36" t="str">
        <f>VLOOKUP(T_Y[[#This Row],[Key]],T_Src[],4,FALSE)</f>
        <v>Fun</v>
      </c>
      <c r="C12" s="36">
        <f>VLOOKUP(T_Y[[#This Row],[Key]],T_Src[],5,FALSE)</f>
        <v>11</v>
      </c>
      <c r="D12" s="23" t="str">
        <f>VLOOKUP(T_Y[[#This Row],[Key]],T_Src[],Fm1Col,FALSE)</f>
        <v>T F Ty Extn</v>
      </c>
      <c r="E12" s="23" t="str">
        <f>VLOOKUP(T_Y[[#This Row],[Key]],T_Src[],Fm2Col,FALSE)</f>
        <v>TTbl</v>
      </c>
      <c r="F12" s="23" t="str">
        <f>VLOOKUP(T_Y[[#This Row],[Key]],T_Src[],Fm3Col,FALSE)</f>
        <v>JStruF</v>
      </c>
      <c r="G12" s="23">
        <f>VLOOKUP(T_Y[[#This Row],[Key]],T_Src[],Fm4Col,FALSE)</f>
        <v>0</v>
      </c>
      <c r="H12" s="23">
        <f>VLOOKUP(T_Y[[#This Row],[Key]],T_Src[],Fm5Col,FALSE)</f>
        <v>0</v>
      </c>
      <c r="I12" s="23" t="str">
        <f>IF(T_Y[[#This Row],[Fm1]]=0,"","Y_"&amp;T_Y[[#This Row],[Fm1]])&amp;", "</f>
        <v xml:space="preserve">Y_T F Ty Extn, </v>
      </c>
      <c r="J12" s="23" t="str">
        <f>IF(T_Y[[#This Row],[Fm2]]=0,"","Y_"&amp;T_Y[[#This Row],[Fm2]]&amp;", ")</f>
        <v xml:space="preserve">Y_TTbl, </v>
      </c>
      <c r="K12" s="23" t="str">
        <f>IF(T_Y[[#This Row],[Fm3]]=0,"","Y_"&amp;T_Y[[#This Row],[Fm3]]&amp;", ")</f>
        <v xml:space="preserve">Y_JStruF, </v>
      </c>
      <c r="L12" s="23" t="str">
        <f>IF(T_Y[[#This Row],[Fm4]]=0,"","Y_"&amp;T_Y[[#This Row],[Fm4]]&amp;", ")</f>
        <v/>
      </c>
      <c r="M12" s="23" t="str">
        <f>IF(T_Y[[#This Row],[Fm5]]=0,"","Y_"&amp;T_Y[[#This Row],[Fm5]]&amp;", ")</f>
        <v/>
      </c>
      <c r="N12" s="4" t="str">
        <f>"Private Function Y_"&amp;T_Y[1Nm]&amp;T_Y[1Sfx]&amp;"()"&amp;T_Y[1As]&amp;T_Y[1:]</f>
        <v xml:space="preserve">Private Function Y_TETblFldFun() As 11:       </v>
      </c>
      <c r="O12" s="4" t="str">
        <f>T_Y[[#This Row],[Key]]</f>
        <v>TETblFld</v>
      </c>
      <c r="P12" s="4" t="str">
        <f>IF(T_Y[FnSfx]=0,"",T_Y[FnSfx])</f>
        <v>Fun</v>
      </c>
      <c r="Q12" s="4" t="str">
        <f>IF(T_Y[RetTy]=0,""," As "&amp;T_Y[RetTy])</f>
        <v xml:space="preserve"> As 11</v>
      </c>
      <c r="R12" s="4" t="str">
        <f>":"&amp;REPT(" ",T_Y[[#This Row],[1Filler]]+1)</f>
        <v xml:space="preserve">:       </v>
      </c>
      <c r="S12" s="4">
        <f>LEN(T_Y[1Nm])</f>
        <v>8</v>
      </c>
      <c r="T12" s="4">
        <f>T_Y[[#Totals],[1Len]]-T_Y[[#This Row],[1Len]]</f>
        <v>6</v>
      </c>
      <c r="U12" s="4" t="str">
        <f>T_Y[[#This Row],[2Spc]]&amp;"Y_"&amp;T_Y[[#This Row],[Key]]&amp;" = "</f>
        <v xml:space="preserve">      Y_TETblFld = </v>
      </c>
      <c r="V12" s="4" t="str">
        <f>REPT(" ",T_Y[[#This Row],[1Filler]])</f>
        <v xml:space="preserve">      </v>
      </c>
      <c r="W12" s="4" t="e">
        <f>"B_"&amp;T_Y[[#This Row],[Key]]&amp;"("&amp;T_Y[[#This Row],[3Pm]]&amp;"):"&amp;T_Y[3Spc]</f>
        <v>#NULL!</v>
      </c>
      <c r="X12" s="23" t="e">
        <f>#NULL!</f>
        <v>#NULL!</v>
      </c>
      <c r="Y12" s="4" t="e">
        <f>REPT(" ",T_Y[[#This Row],[1Filler]]+T_Y[[#This Row],[3PmFiller]])</f>
        <v>#NULL!</v>
      </c>
      <c r="Z12" s="4" t="e">
        <f>LEN(T_Y[[#This Row],[3Pm]])</f>
        <v>#NULL!</v>
      </c>
      <c r="AA12" s="4" t="e">
        <f>T_Y[[#Totals],[3PmLen]]-T_Y[[#This Row],[3PmLen]]</f>
        <v>#NULL!</v>
      </c>
      <c r="AB12" s="6" t="e">
        <f>T_Y[[#This Row],[1]]&amp;T_Y[[#This Row],[2]]&amp;T_Y[[#This Row],[3]]&amp;"End Function"</f>
        <v>#NULL!</v>
      </c>
      <c r="AC12"/>
    </row>
    <row r="13" spans="1:41" x14ac:dyDescent="0.35">
      <c r="A13" t="str">
        <f>Src!A16</f>
        <v>TATblFld</v>
      </c>
      <c r="B13" s="36" t="str">
        <f>VLOOKUP(T_Y[[#This Row],[Key]],T_Src[],4,FALSE)</f>
        <v>Fun</v>
      </c>
      <c r="C13" s="36">
        <f>VLOOKUP(T_Y[[#This Row],[Key]],T_Src[],5,FALSE)</f>
        <v>12</v>
      </c>
      <c r="D13" s="23" t="str">
        <f>VLOOKUP(T_Y[[#This Row],[Key]],T_Src[],Fm1Col,FALSE)</f>
        <v>T F Ty</v>
      </c>
      <c r="E13" s="23" t="str">
        <f>VLOOKUP(T_Y[[#This Row],[Key]],T_Src[],Fm2Col,FALSE)</f>
        <v>TTbl</v>
      </c>
      <c r="F13" s="23">
        <f>VLOOKUP(T_Y[[#This Row],[Key]],T_Src[],Fm3Col,FALSE)</f>
        <v>0</v>
      </c>
      <c r="G13" s="23">
        <f>VLOOKUP(T_Y[[#This Row],[Key]],T_Src[],Fm4Col,FALSE)</f>
        <v>0</v>
      </c>
      <c r="H13" s="23">
        <f>VLOOKUP(T_Y[[#This Row],[Key]],T_Src[],Fm5Col,FALSE)</f>
        <v>0</v>
      </c>
      <c r="I13" s="23" t="str">
        <f>IF(T_Y[[#This Row],[Fm1]]=0,"","Y_"&amp;T_Y[[#This Row],[Fm1]])&amp;", "</f>
        <v xml:space="preserve">Y_T F Ty, </v>
      </c>
      <c r="J13" s="23" t="str">
        <f>IF(T_Y[[#This Row],[Fm2]]=0,"","Y_"&amp;T_Y[[#This Row],[Fm2]]&amp;", ")</f>
        <v xml:space="preserve">Y_TTbl, </v>
      </c>
      <c r="K13" s="23" t="str">
        <f>IF(T_Y[[#This Row],[Fm3]]=0,"","Y_"&amp;T_Y[[#This Row],[Fm3]]&amp;", ")</f>
        <v/>
      </c>
      <c r="L13" s="23" t="str">
        <f>IF(T_Y[[#This Row],[Fm4]]=0,"","Y_"&amp;T_Y[[#This Row],[Fm4]]&amp;", ")</f>
        <v/>
      </c>
      <c r="M13" s="23" t="str">
        <f>IF(T_Y[[#This Row],[Fm5]]=0,"","Y_"&amp;T_Y[[#This Row],[Fm5]]&amp;", ")</f>
        <v/>
      </c>
      <c r="N13" s="4" t="str">
        <f>"Private Function Y_"&amp;T_Y[1Nm]&amp;T_Y[1Sfx]&amp;"()"&amp;T_Y[1As]&amp;T_Y[1:]</f>
        <v xml:space="preserve">Private Function Y_TATblFldFun() As 12:       </v>
      </c>
      <c r="O13" s="4" t="str">
        <f>T_Y[[#This Row],[Key]]</f>
        <v>TATblFld</v>
      </c>
      <c r="P13" s="4" t="str">
        <f>IF(T_Y[FnSfx]=0,"",T_Y[FnSfx])</f>
        <v>Fun</v>
      </c>
      <c r="Q13" s="4" t="str">
        <f>IF(T_Y[RetTy]=0,""," As "&amp;T_Y[RetTy])</f>
        <v xml:space="preserve"> As 12</v>
      </c>
      <c r="R13" s="4" t="str">
        <f>":"&amp;REPT(" ",T_Y[[#This Row],[1Filler]]+1)</f>
        <v xml:space="preserve">:       </v>
      </c>
      <c r="S13" s="4">
        <f>LEN(T_Y[1Nm])</f>
        <v>8</v>
      </c>
      <c r="T13" s="4">
        <f>T_Y[[#Totals],[1Len]]-T_Y[[#This Row],[1Len]]</f>
        <v>6</v>
      </c>
      <c r="U13" s="4" t="str">
        <f>T_Y[[#This Row],[2Spc]]&amp;"Y_"&amp;T_Y[[#This Row],[Key]]&amp;" = "</f>
        <v xml:space="preserve">      Y_TATblFld = </v>
      </c>
      <c r="V13" s="4" t="str">
        <f>REPT(" ",T_Y[[#This Row],[1Filler]])</f>
        <v xml:space="preserve">      </v>
      </c>
      <c r="W13" s="4" t="e">
        <f>"B_"&amp;T_Y[[#This Row],[Key]]&amp;"("&amp;T_Y[[#This Row],[3Pm]]&amp;"):"&amp;T_Y[3Spc]</f>
        <v>#NULL!</v>
      </c>
      <c r="X13" s="23" t="e">
        <f>#NULL!</f>
        <v>#NULL!</v>
      </c>
      <c r="Y13" s="4" t="e">
        <f>REPT(" ",T_Y[[#This Row],[1Filler]]+T_Y[[#This Row],[3PmFiller]])</f>
        <v>#NULL!</v>
      </c>
      <c r="Z13" s="4" t="e">
        <f>LEN(T_Y[[#This Row],[3Pm]])</f>
        <v>#NULL!</v>
      </c>
      <c r="AA13" s="4" t="e">
        <f>T_Y[[#Totals],[3PmLen]]-T_Y[[#This Row],[3PmLen]]</f>
        <v>#NULL!</v>
      </c>
      <c r="AB13" s="6" t="e">
        <f>T_Y[[#This Row],[1]]&amp;T_Y[[#This Row],[2]]&amp;T_Y[[#This Row],[3]]&amp;"End Function"</f>
        <v>#NULL!</v>
      </c>
      <c r="AC13"/>
    </row>
    <row r="14" spans="1:41" x14ac:dyDescent="0.35">
      <c r="A14" t="str">
        <f>Src!A17</f>
        <v>OU_FfnNFnd</v>
      </c>
      <c r="B14" s="36" t="str">
        <f>VLOOKUP(T_Y[[#This Row],[Key]],T_Src[],4,FALSE)</f>
        <v>Fun</v>
      </c>
      <c r="C14" s="36">
        <f>VLOOKUP(T_Y[[#This Row],[Key]],T_Src[],5,FALSE)</f>
        <v>13</v>
      </c>
      <c r="D14" s="23" t="str">
        <f>VLOOKUP(T_Y[[#This Row],[Key]],T_Src[],Fm1Col,FALSE)</f>
        <v>L Fn Ffn</v>
      </c>
      <c r="E14" s="23" t="str">
        <f>VLOOKUP(T_Y[[#This Row],[Key]],T_Src[],Fm2Col,FALSE)</f>
        <v>JFxTbl</v>
      </c>
      <c r="F14" s="23" t="str">
        <f>VLOOKUP(T_Y[[#This Row],[Key]],T_Src[],Fm3Col,FALSE)</f>
        <v>IInpFil</v>
      </c>
      <c r="G14" s="23">
        <f>VLOOKUP(T_Y[[#This Row],[Key]],T_Src[],Fm4Col,FALSE)</f>
        <v>0</v>
      </c>
      <c r="H14" s="23">
        <f>VLOOKUP(T_Y[[#This Row],[Key]],T_Src[],Fm5Col,FALSE)</f>
        <v>0</v>
      </c>
      <c r="I14" s="23" t="str">
        <f>IF(T_Y[[#This Row],[Fm1]]=0,"","Y_"&amp;T_Y[[#This Row],[Fm1]])&amp;", "</f>
        <v xml:space="preserve">Y_L Fn Ffn, </v>
      </c>
      <c r="J14" s="23" t="str">
        <f>IF(T_Y[[#This Row],[Fm2]]=0,"","Y_"&amp;T_Y[[#This Row],[Fm2]]&amp;", ")</f>
        <v xml:space="preserve">Y_JFxTbl, </v>
      </c>
      <c r="K14" s="23" t="str">
        <f>IF(T_Y[[#This Row],[Fm3]]=0,"","Y_"&amp;T_Y[[#This Row],[Fm3]]&amp;", ")</f>
        <v xml:space="preserve">Y_IInpFil, </v>
      </c>
      <c r="L14" s="23" t="str">
        <f>IF(T_Y[[#This Row],[Fm4]]=0,"","Y_"&amp;T_Y[[#This Row],[Fm4]]&amp;", ")</f>
        <v/>
      </c>
      <c r="M14" s="23" t="str">
        <f>IF(T_Y[[#This Row],[Fm5]]=0,"","Y_"&amp;T_Y[[#This Row],[Fm5]]&amp;", ")</f>
        <v/>
      </c>
      <c r="N14" s="4" t="str">
        <f>"Private Function Y_"&amp;T_Y[1Nm]&amp;T_Y[1Sfx]&amp;"()"&amp;T_Y[1As]&amp;T_Y[1:]</f>
        <v xml:space="preserve">Private Function Y_OU_FfnNFndFun() As 13:     </v>
      </c>
      <c r="O14" s="4" t="str">
        <f>T_Y[[#This Row],[Key]]</f>
        <v>OU_FfnNFnd</v>
      </c>
      <c r="P14" s="4" t="str">
        <f>IF(T_Y[FnSfx]=0,"",T_Y[FnSfx])</f>
        <v>Fun</v>
      </c>
      <c r="Q14" s="4" t="str">
        <f>IF(T_Y[RetTy]=0,""," As "&amp;T_Y[RetTy])</f>
        <v xml:space="preserve"> As 13</v>
      </c>
      <c r="R14" s="4" t="str">
        <f>":"&amp;REPT(" ",T_Y[[#This Row],[1Filler]]+1)</f>
        <v xml:space="preserve">:     </v>
      </c>
      <c r="S14" s="4">
        <f>LEN(T_Y[1Nm])</f>
        <v>10</v>
      </c>
      <c r="T14" s="4">
        <f>T_Y[[#Totals],[1Len]]-T_Y[[#This Row],[1Len]]</f>
        <v>4</v>
      </c>
      <c r="U14" s="4" t="str">
        <f>T_Y[[#This Row],[2Spc]]&amp;"Y_"&amp;T_Y[[#This Row],[Key]]&amp;" = "</f>
        <v xml:space="preserve">    Y_OU_FfnNFnd = </v>
      </c>
      <c r="V14" s="4" t="str">
        <f>REPT(" ",T_Y[[#This Row],[1Filler]])</f>
        <v xml:space="preserve">    </v>
      </c>
      <c r="W14" s="4" t="e">
        <f>"B_"&amp;T_Y[[#This Row],[Key]]&amp;"("&amp;T_Y[[#This Row],[3Pm]]&amp;"):"&amp;T_Y[3Spc]</f>
        <v>#NULL!</v>
      </c>
      <c r="X14" s="23" t="e">
        <f>#NULL!</f>
        <v>#NULL!</v>
      </c>
      <c r="Y14" s="4" t="e">
        <f>REPT(" ",T_Y[[#This Row],[1Filler]]+T_Y[[#This Row],[3PmFiller]])</f>
        <v>#NULL!</v>
      </c>
      <c r="Z14" s="4" t="e">
        <f>LEN(T_Y[[#This Row],[3Pm]])</f>
        <v>#NULL!</v>
      </c>
      <c r="AA14" s="4" t="e">
        <f>T_Y[[#Totals],[3PmLen]]-T_Y[[#This Row],[3PmLen]]</f>
        <v>#NULL!</v>
      </c>
      <c r="AB14" s="6" t="e">
        <f>T_Y[[#This Row],[1]]&amp;T_Y[[#This Row],[2]]&amp;T_Y[[#This Row],[3]]&amp;"End Function"</f>
        <v>#NULL!</v>
      </c>
      <c r="AC14"/>
    </row>
    <row r="15" spans="1:41" x14ac:dyDescent="0.35">
      <c r="A15" t="str">
        <f>Src!A18</f>
        <v>OU_FbtNFnd</v>
      </c>
      <c r="B15" s="36" t="str">
        <f>VLOOKUP(T_Y[[#This Row],[Key]],T_Src[],4,FALSE)</f>
        <v>Fun</v>
      </c>
      <c r="C15" s="36">
        <f>VLOOKUP(T_Y[[#This Row],[Key]],T_Src[],5,FALSE)</f>
        <v>14</v>
      </c>
      <c r="D15" s="23" t="str">
        <f>VLOOKUP(T_Y[[#This Row],[Key]],T_Src[],Fm1Col,FALSE)</f>
        <v>L Fbn Fb Tss</v>
      </c>
      <c r="E15" s="23" t="str">
        <f>VLOOKUP(T_Y[[#This Row],[Key]],T_Src[],Fm2Col,FALSE)</f>
        <v>JFxTbl</v>
      </c>
      <c r="F15" s="23" t="str">
        <f>VLOOKUP(T_Y[[#This Row],[Key]],T_Src[],Fm3Col,FALSE)</f>
        <v>IInpFil</v>
      </c>
      <c r="G15" s="23">
        <f>VLOOKUP(T_Y[[#This Row],[Key]],T_Src[],Fm4Col,FALSE)</f>
        <v>0</v>
      </c>
      <c r="H15" s="23">
        <f>VLOOKUP(T_Y[[#This Row],[Key]],T_Src[],Fm5Col,FALSE)</f>
        <v>0</v>
      </c>
      <c r="I15" s="23" t="str">
        <f>IF(T_Y[[#This Row],[Fm1]]=0,"","Y_"&amp;T_Y[[#This Row],[Fm1]])&amp;", "</f>
        <v xml:space="preserve">Y_L Fbn Fb Tss, </v>
      </c>
      <c r="J15" s="23" t="str">
        <f>IF(T_Y[[#This Row],[Fm2]]=0,"","Y_"&amp;T_Y[[#This Row],[Fm2]]&amp;", ")</f>
        <v xml:space="preserve">Y_JFxTbl, </v>
      </c>
      <c r="K15" s="23" t="str">
        <f>IF(T_Y[[#This Row],[Fm3]]=0,"","Y_"&amp;T_Y[[#This Row],[Fm3]]&amp;", ")</f>
        <v xml:space="preserve">Y_IInpFil, </v>
      </c>
      <c r="L15" s="23" t="str">
        <f>IF(T_Y[[#This Row],[Fm4]]=0,"","Y_"&amp;T_Y[[#This Row],[Fm4]]&amp;", ")</f>
        <v/>
      </c>
      <c r="M15" s="23" t="str">
        <f>IF(T_Y[[#This Row],[Fm5]]=0,"","Y_"&amp;T_Y[[#This Row],[Fm5]]&amp;", ")</f>
        <v/>
      </c>
      <c r="N15" s="4" t="str">
        <f>"Private Function Y_"&amp;T_Y[1Nm]&amp;T_Y[1Sfx]&amp;"()"&amp;T_Y[1As]&amp;T_Y[1:]</f>
        <v xml:space="preserve">Private Function Y_OU_FbtNFndFun() As 14:     </v>
      </c>
      <c r="O15" s="4" t="str">
        <f>T_Y[[#This Row],[Key]]</f>
        <v>OU_FbtNFnd</v>
      </c>
      <c r="P15" s="4" t="str">
        <f>IF(T_Y[FnSfx]=0,"",T_Y[FnSfx])</f>
        <v>Fun</v>
      </c>
      <c r="Q15" s="4" t="str">
        <f>IF(T_Y[RetTy]=0,""," As "&amp;T_Y[RetTy])</f>
        <v xml:space="preserve"> As 14</v>
      </c>
      <c r="R15" s="4" t="str">
        <f>":"&amp;REPT(" ",T_Y[[#This Row],[1Filler]]+1)</f>
        <v xml:space="preserve">:     </v>
      </c>
      <c r="S15" s="4">
        <f>LEN(T_Y[1Nm])</f>
        <v>10</v>
      </c>
      <c r="T15" s="4">
        <f>T_Y[[#Totals],[1Len]]-T_Y[[#This Row],[1Len]]</f>
        <v>4</v>
      </c>
      <c r="U15" s="4" t="str">
        <f>T_Y[[#This Row],[2Spc]]&amp;"Y_"&amp;T_Y[[#This Row],[Key]]&amp;" = "</f>
        <v xml:space="preserve">    Y_OU_FbtNFnd = </v>
      </c>
      <c r="V15" s="4" t="str">
        <f>REPT(" ",T_Y[[#This Row],[1Filler]])</f>
        <v xml:space="preserve">    </v>
      </c>
      <c r="W15" s="4" t="e">
        <f>"B_"&amp;T_Y[[#This Row],[Key]]&amp;"("&amp;T_Y[[#This Row],[3Pm]]&amp;"):"&amp;T_Y[3Spc]</f>
        <v>#NULL!</v>
      </c>
      <c r="X15" s="23" t="e">
        <f>#NULL!</f>
        <v>#NULL!</v>
      </c>
      <c r="Y15" s="4" t="e">
        <f>REPT(" ",T_Y[[#This Row],[1Filler]]+T_Y[[#This Row],[3PmFiller]])</f>
        <v>#NULL!</v>
      </c>
      <c r="Z15" s="4" t="e">
        <f>LEN(T_Y[[#This Row],[3Pm]])</f>
        <v>#NULL!</v>
      </c>
      <c r="AA15" s="4" t="e">
        <f>T_Y[[#Totals],[3PmLen]]-T_Y[[#This Row],[3PmLen]]</f>
        <v>#NULL!</v>
      </c>
      <c r="AB15" s="6" t="e">
        <f>T_Y[[#This Row],[1]]&amp;T_Y[[#This Row],[2]]&amp;T_Y[[#This Row],[3]]&amp;"End Function"</f>
        <v>#NULL!</v>
      </c>
      <c r="AC15"/>
    </row>
    <row r="16" spans="1:41" x14ac:dyDescent="0.35">
      <c r="A16" t="str">
        <f>Src!A19</f>
        <v>OU_WsnNFnd</v>
      </c>
      <c r="B16" s="36" t="str">
        <f>VLOOKUP(T_Y[[#This Row],[Key]],T_Src[],4,FALSE)</f>
        <v>Fun</v>
      </c>
      <c r="C16" s="36">
        <f>VLOOKUP(T_Y[[#This Row],[Key]],T_Src[],5,FALSE)</f>
        <v>15</v>
      </c>
      <c r="D16" s="23" t="str">
        <f>VLOOKUP(T_Y[[#This Row],[Key]],T_Src[],Fm1Col,FALSE)</f>
        <v>L Fxn Fx Wsn</v>
      </c>
      <c r="E16" s="23" t="str">
        <f>VLOOKUP(T_Y[[#This Row],[Key]],T_Src[],Fm2Col,FALSE)</f>
        <v>TTbl</v>
      </c>
      <c r="F16" s="23" t="str">
        <f>VLOOKUP(T_Y[[#This Row],[Key]],T_Src[],Fm3Col,FALSE)</f>
        <v>IInpFil</v>
      </c>
      <c r="G16" s="23">
        <f>VLOOKUP(T_Y[[#This Row],[Key]],T_Src[],Fm4Col,FALSE)</f>
        <v>0</v>
      </c>
      <c r="H16" s="23">
        <f>VLOOKUP(T_Y[[#This Row],[Key]],T_Src[],Fm5Col,FALSE)</f>
        <v>0</v>
      </c>
      <c r="I16" s="23" t="str">
        <f>IF(T_Y[[#This Row],[Fm1]]=0,"","Y_"&amp;T_Y[[#This Row],[Fm1]])&amp;", "</f>
        <v xml:space="preserve">Y_L Fxn Fx Wsn, </v>
      </c>
      <c r="J16" s="23" t="str">
        <f>IF(T_Y[[#This Row],[Fm2]]=0,"","Y_"&amp;T_Y[[#This Row],[Fm2]]&amp;", ")</f>
        <v xml:space="preserve">Y_TTbl, </v>
      </c>
      <c r="K16" s="23" t="str">
        <f>IF(T_Y[[#This Row],[Fm3]]=0,"","Y_"&amp;T_Y[[#This Row],[Fm3]]&amp;", ")</f>
        <v xml:space="preserve">Y_IInpFil, </v>
      </c>
      <c r="L16" s="23" t="str">
        <f>IF(T_Y[[#This Row],[Fm4]]=0,"","Y_"&amp;T_Y[[#This Row],[Fm4]]&amp;", ")</f>
        <v/>
      </c>
      <c r="M16" s="23" t="str">
        <f>IF(T_Y[[#This Row],[Fm5]]=0,"","Y_"&amp;T_Y[[#This Row],[Fm5]]&amp;", ")</f>
        <v/>
      </c>
      <c r="N16" s="4" t="str">
        <f>"Private Function Y_"&amp;T_Y[1Nm]&amp;T_Y[1Sfx]&amp;"()"&amp;T_Y[1As]&amp;T_Y[1:]</f>
        <v xml:space="preserve">Private Function Y_OU_WsnNFndFun() As 15:     </v>
      </c>
      <c r="O16" s="4" t="str">
        <f>T_Y[[#This Row],[Key]]</f>
        <v>OU_WsnNFnd</v>
      </c>
      <c r="P16" s="4" t="str">
        <f>IF(T_Y[FnSfx]=0,"",T_Y[FnSfx])</f>
        <v>Fun</v>
      </c>
      <c r="Q16" s="4" t="str">
        <f>IF(T_Y[RetTy]=0,""," As "&amp;T_Y[RetTy])</f>
        <v xml:space="preserve"> As 15</v>
      </c>
      <c r="R16" s="4" t="str">
        <f>":"&amp;REPT(" ",T_Y[[#This Row],[1Filler]]+1)</f>
        <v xml:space="preserve">:     </v>
      </c>
      <c r="S16" s="4">
        <f>LEN(T_Y[1Nm])</f>
        <v>10</v>
      </c>
      <c r="T16" s="4">
        <f>T_Y[[#Totals],[1Len]]-T_Y[[#This Row],[1Len]]</f>
        <v>4</v>
      </c>
      <c r="U16" s="4" t="str">
        <f>T_Y[[#This Row],[2Spc]]&amp;"Y_"&amp;T_Y[[#This Row],[Key]]&amp;" = "</f>
        <v xml:space="preserve">    Y_OU_WsnNFnd = </v>
      </c>
      <c r="V16" s="4" t="str">
        <f>REPT(" ",T_Y[[#This Row],[1Filler]])</f>
        <v xml:space="preserve">    </v>
      </c>
      <c r="W16" s="4" t="e">
        <f>"B_"&amp;T_Y[[#This Row],[Key]]&amp;"("&amp;T_Y[[#This Row],[3Pm]]&amp;"):"&amp;T_Y[3Spc]</f>
        <v>#NULL!</v>
      </c>
      <c r="X16" s="23" t="e">
        <f>#NULL!</f>
        <v>#NULL!</v>
      </c>
      <c r="Y16" s="4" t="e">
        <f>REPT(" ",T_Y[[#This Row],[1Filler]]+T_Y[[#This Row],[3PmFiller]])</f>
        <v>#NULL!</v>
      </c>
      <c r="Z16" s="4" t="e">
        <f>LEN(T_Y[[#This Row],[3Pm]])</f>
        <v>#NULL!</v>
      </c>
      <c r="AA16" s="4" t="e">
        <f>T_Y[[#Totals],[3PmLen]]-T_Y[[#This Row],[3PmLen]]</f>
        <v>#NULL!</v>
      </c>
      <c r="AB16" s="6" t="e">
        <f>T_Y[[#This Row],[1]]&amp;T_Y[[#This Row],[2]]&amp;T_Y[[#This Row],[3]]&amp;"End Function"</f>
        <v>#NULL!</v>
      </c>
      <c r="AC16"/>
    </row>
    <row r="17" spans="1:29" x14ac:dyDescent="0.35">
      <c r="A17" t="str">
        <f>Src!A20</f>
        <v>OU_FxExtnNFnd</v>
      </c>
      <c r="B17" s="36" t="str">
        <f>VLOOKUP(T_Y[[#This Row],[Key]],T_Src[],4,FALSE)</f>
        <v>Fun</v>
      </c>
      <c r="C17" s="36">
        <f>VLOOKUP(T_Y[[#This Row],[Key]],T_Src[],5,FALSE)</f>
        <v>16</v>
      </c>
      <c r="D17" s="23" t="str">
        <f>VLOOKUP(T_Y[[#This Row],[Key]],T_Src[],Fm1Col,FALSE)</f>
        <v>Fn Ffn T Fss ActFss</v>
      </c>
      <c r="E17" s="23" t="str">
        <f>VLOOKUP(T_Y[[#This Row],[Key]],T_Src[],Fm2Col,FALSE)</f>
        <v>TETblFld</v>
      </c>
      <c r="F17" s="23" t="str">
        <f>VLOOKUP(T_Y[[#This Row],[Key]],T_Src[],Fm3Col,FALSE)</f>
        <v>IInpFil</v>
      </c>
      <c r="G17" s="23">
        <f>VLOOKUP(T_Y[[#This Row],[Key]],T_Src[],Fm4Col,FALSE)</f>
        <v>0</v>
      </c>
      <c r="H17" s="23">
        <f>VLOOKUP(T_Y[[#This Row],[Key]],T_Src[],Fm5Col,FALSE)</f>
        <v>0</v>
      </c>
      <c r="I17" s="23" t="str">
        <f>IF(T_Y[[#This Row],[Fm1]]=0,"","Y_"&amp;T_Y[[#This Row],[Fm1]])&amp;", "</f>
        <v xml:space="preserve">Y_Fn Ffn T Fss ActFss, </v>
      </c>
      <c r="J17" s="23" t="str">
        <f>IF(T_Y[[#This Row],[Fm2]]=0,"","Y_"&amp;T_Y[[#This Row],[Fm2]]&amp;", ")</f>
        <v xml:space="preserve">Y_TETblFld, </v>
      </c>
      <c r="K17" s="23" t="str">
        <f>IF(T_Y[[#This Row],[Fm3]]=0,"","Y_"&amp;T_Y[[#This Row],[Fm3]]&amp;", ")</f>
        <v xml:space="preserve">Y_IInpFil, </v>
      </c>
      <c r="L17" s="23" t="str">
        <f>IF(T_Y[[#This Row],[Fm4]]=0,"","Y_"&amp;T_Y[[#This Row],[Fm4]]&amp;", ")</f>
        <v/>
      </c>
      <c r="M17" s="23" t="str">
        <f>IF(T_Y[[#This Row],[Fm5]]=0,"","Y_"&amp;T_Y[[#This Row],[Fm5]]&amp;", ")</f>
        <v/>
      </c>
      <c r="N17" s="4" t="str">
        <f>"Private Function Y_"&amp;T_Y[1Nm]&amp;T_Y[1Sfx]&amp;"()"&amp;T_Y[1As]&amp;T_Y[1:]</f>
        <v xml:space="preserve">Private Function Y_OU_FxExtnNFndFun() As 16:  </v>
      </c>
      <c r="O17" s="4" t="str">
        <f>T_Y[[#This Row],[Key]]</f>
        <v>OU_FxExtnNFnd</v>
      </c>
      <c r="P17" s="4" t="str">
        <f>IF(T_Y[FnSfx]=0,"",T_Y[FnSfx])</f>
        <v>Fun</v>
      </c>
      <c r="Q17" s="4" t="str">
        <f>IF(T_Y[RetTy]=0,""," As "&amp;T_Y[RetTy])</f>
        <v xml:space="preserve"> As 16</v>
      </c>
      <c r="R17" s="4" t="str">
        <f>":"&amp;REPT(" ",T_Y[[#This Row],[1Filler]]+1)</f>
        <v xml:space="preserve">:  </v>
      </c>
      <c r="S17" s="4">
        <f>LEN(T_Y[1Nm])</f>
        <v>13</v>
      </c>
      <c r="T17" s="4">
        <f>T_Y[[#Totals],[1Len]]-T_Y[[#This Row],[1Len]]</f>
        <v>1</v>
      </c>
      <c r="U17" s="4" t="str">
        <f>T_Y[[#This Row],[2Spc]]&amp;"Y_"&amp;T_Y[[#This Row],[Key]]&amp;" = "</f>
        <v xml:space="preserve"> Y_OU_FxExtnNFnd = </v>
      </c>
      <c r="V17" s="4" t="str">
        <f>REPT(" ",T_Y[[#This Row],[1Filler]])</f>
        <v xml:space="preserve"> </v>
      </c>
      <c r="W17" s="4" t="e">
        <f>"B_"&amp;T_Y[[#This Row],[Key]]&amp;"("&amp;T_Y[[#This Row],[3Pm]]&amp;"):"&amp;T_Y[3Spc]</f>
        <v>#NULL!</v>
      </c>
      <c r="X17" s="23" t="e">
        <f>#NULL!</f>
        <v>#NULL!</v>
      </c>
      <c r="Y17" s="4" t="e">
        <f>REPT(" ",T_Y[[#This Row],[1Filler]]+T_Y[[#This Row],[3PmFiller]])</f>
        <v>#NULL!</v>
      </c>
      <c r="Z17" s="4" t="e">
        <f>LEN(T_Y[[#This Row],[3Pm]])</f>
        <v>#NULL!</v>
      </c>
      <c r="AA17" s="4" t="e">
        <f>T_Y[[#Totals],[3PmLen]]-T_Y[[#This Row],[3PmLen]]</f>
        <v>#NULL!</v>
      </c>
      <c r="AB17" s="6" t="e">
        <f>T_Y[[#This Row],[1]]&amp;T_Y[[#This Row],[2]]&amp;T_Y[[#This Row],[3]]&amp;"End Function"</f>
        <v>#NULL!</v>
      </c>
      <c r="AC17"/>
    </row>
    <row r="18" spans="1:29" x14ac:dyDescent="0.35">
      <c r="A18" t="str">
        <f>Src!A21</f>
        <v>OU_FxFldTyNMch</v>
      </c>
      <c r="B18" s="36" t="str">
        <f>VLOOKUP(T_Y[[#This Row],[Key]],T_Src[],4,FALSE)</f>
        <v>Fun</v>
      </c>
      <c r="C18" s="36">
        <f>VLOOKUP(T_Y[[#This Row],[Key]],T_Src[],5,FALSE)</f>
        <v>17</v>
      </c>
      <c r="D18" s="23" t="str">
        <f>VLOOKUP(T_Y[[#This Row],[Key]],T_Src[],Fm1Col,FALSE)</f>
        <v>Fn Ffn T F Ty ActTy</v>
      </c>
      <c r="E18" s="23">
        <f>VLOOKUP(T_Y[[#This Row],[Key]],T_Src[],Fm2Col,FALSE)</f>
        <v>0</v>
      </c>
      <c r="F18" s="23" t="str">
        <f>VLOOKUP(T_Y[[#This Row],[Key]],T_Src[],Fm3Col,FALSE)</f>
        <v>IInpFil</v>
      </c>
      <c r="G18" s="23">
        <f>VLOOKUP(T_Y[[#This Row],[Key]],T_Src[],Fm4Col,FALSE)</f>
        <v>0</v>
      </c>
      <c r="H18" s="23">
        <f>VLOOKUP(T_Y[[#This Row],[Key]],T_Src[],Fm5Col,FALSE)</f>
        <v>0</v>
      </c>
      <c r="I18" s="23" t="str">
        <f>IF(T_Y[[#This Row],[Fm1]]=0,"","Y_"&amp;T_Y[[#This Row],[Fm1]])&amp;", "</f>
        <v xml:space="preserve">Y_Fn Ffn T F Ty ActTy, </v>
      </c>
      <c r="J18" s="23" t="str">
        <f>IF(T_Y[[#This Row],[Fm2]]=0,"","Y_"&amp;T_Y[[#This Row],[Fm2]]&amp;", ")</f>
        <v/>
      </c>
      <c r="K18" s="23" t="str">
        <f>IF(T_Y[[#This Row],[Fm3]]=0,"","Y_"&amp;T_Y[[#This Row],[Fm3]]&amp;", ")</f>
        <v xml:space="preserve">Y_IInpFil, </v>
      </c>
      <c r="L18" s="23" t="str">
        <f>IF(T_Y[[#This Row],[Fm4]]=0,"","Y_"&amp;T_Y[[#This Row],[Fm4]]&amp;", ")</f>
        <v/>
      </c>
      <c r="M18" s="23" t="str">
        <f>IF(T_Y[[#This Row],[Fm5]]=0,"","Y_"&amp;T_Y[[#This Row],[Fm5]]&amp;", ")</f>
        <v/>
      </c>
      <c r="N18" s="4" t="str">
        <f>"Private Function Y_"&amp;T_Y[1Nm]&amp;T_Y[1Sfx]&amp;"()"&amp;T_Y[1As]&amp;T_Y[1:]</f>
        <v xml:space="preserve">Private Function Y_OU_FxFldTyNMchFun() As 17: </v>
      </c>
      <c r="O18" s="4" t="str">
        <f>T_Y[[#This Row],[Key]]</f>
        <v>OU_FxFldTyNMch</v>
      </c>
      <c r="P18" s="4" t="str">
        <f>IF(T_Y[FnSfx]=0,"",T_Y[FnSfx])</f>
        <v>Fun</v>
      </c>
      <c r="Q18" s="4" t="str">
        <f>IF(T_Y[RetTy]=0,""," As "&amp;T_Y[RetTy])</f>
        <v xml:space="preserve"> As 17</v>
      </c>
      <c r="R18" s="4" t="str">
        <f>":"&amp;REPT(" ",T_Y[[#This Row],[1Filler]]+1)</f>
        <v xml:space="preserve">: </v>
      </c>
      <c r="S18" s="4">
        <f>LEN(T_Y[1Nm])</f>
        <v>14</v>
      </c>
      <c r="T18" s="4">
        <f>T_Y[[#Totals],[1Len]]-T_Y[[#This Row],[1Len]]</f>
        <v>0</v>
      </c>
      <c r="U18" s="4" t="str">
        <f>T_Y[[#This Row],[2Spc]]&amp;"Y_"&amp;T_Y[[#This Row],[Key]]&amp;" = "</f>
        <v xml:space="preserve">Y_OU_FxFldTyNMch = </v>
      </c>
      <c r="V18" s="4" t="str">
        <f>REPT(" ",T_Y[[#This Row],[1Filler]])</f>
        <v/>
      </c>
      <c r="W18" s="4" t="e">
        <f>"B_"&amp;T_Y[[#This Row],[Key]]&amp;"("&amp;T_Y[[#This Row],[3Pm]]&amp;"):"&amp;T_Y[3Spc]</f>
        <v>#NULL!</v>
      </c>
      <c r="X18" s="23" t="e">
        <f>#NULL!</f>
        <v>#NULL!</v>
      </c>
      <c r="Y18" s="4" t="e">
        <f>REPT(" ",T_Y[[#This Row],[1Filler]]+T_Y[[#This Row],[3PmFiller]])</f>
        <v>#NULL!</v>
      </c>
      <c r="Z18" s="4" t="e">
        <f>LEN(T_Y[[#This Row],[3Pm]])</f>
        <v>#NULL!</v>
      </c>
      <c r="AA18" s="4" t="e">
        <f>T_Y[[#Totals],[3PmLen]]-T_Y[[#This Row],[3PmLen]]</f>
        <v>#NULL!</v>
      </c>
      <c r="AB18" s="6" t="e">
        <f>T_Y[[#This Row],[1]]&amp;T_Y[[#This Row],[2]]&amp;T_Y[[#This Row],[3]]&amp;"End Function"</f>
        <v>#NULL!</v>
      </c>
      <c r="AC18"/>
    </row>
    <row r="19" spans="1:29" x14ac:dyDescent="0.35">
      <c r="A19" t="str">
        <f>Src!A22</f>
        <v>OU_All</v>
      </c>
      <c r="B19" s="36" t="str">
        <f>VLOOKUP(T_Y[[#This Row],[Key]],T_Src[],4,FALSE)</f>
        <v>Fun</v>
      </c>
      <c r="C19" s="36">
        <f>VLOOKUP(T_Y[[#This Row],[Key]],T_Src[],5,FALSE)</f>
        <v>18</v>
      </c>
      <c r="D19" s="23" t="str">
        <f>VLOOKUP(T_Y[[#This Row],[Key]],T_Src[],Fm1Col,FALSE)</f>
        <v>ErTy Ern L Msg</v>
      </c>
      <c r="E19" s="23" t="str">
        <f>VLOOKUP(T_Y[[#This Row],[Key]],T_Src[],Fm2Col,FALSE)</f>
        <v>OU_FfnNFnd</v>
      </c>
      <c r="F19" s="23" t="str">
        <f>VLOOKUP(T_Y[[#This Row],[Key]],T_Src[],Fm3Col,FALSE)</f>
        <v>OU_FbtNFnd</v>
      </c>
      <c r="G19" s="23" t="str">
        <f>VLOOKUP(T_Y[[#This Row],[Key]],T_Src[],Fm4Col,FALSE)</f>
        <v>OU_WsnNFnd</v>
      </c>
      <c r="H19" s="23" t="str">
        <f>VLOOKUP(T_Y[[#This Row],[Key]],T_Src[],Fm5Col,FALSE)</f>
        <v>OU_FxExtnNFnd</v>
      </c>
      <c r="I19" s="23" t="str">
        <f>IF(T_Y[[#This Row],[Fm1]]=0,"","Y_"&amp;T_Y[[#This Row],[Fm1]])&amp;", "</f>
        <v xml:space="preserve">Y_ErTy Ern L Msg, </v>
      </c>
      <c r="J19" s="23" t="str">
        <f>IF(T_Y[[#This Row],[Fm2]]=0,"","Y_"&amp;T_Y[[#This Row],[Fm2]]&amp;", ")</f>
        <v xml:space="preserve">Y_OU_FfnNFnd, </v>
      </c>
      <c r="K19" s="23" t="str">
        <f>IF(T_Y[[#This Row],[Fm3]]=0,"","Y_"&amp;T_Y[[#This Row],[Fm3]]&amp;", ")</f>
        <v xml:space="preserve">Y_OU_FbtNFnd, </v>
      </c>
      <c r="L19" s="23" t="str">
        <f>IF(T_Y[[#This Row],[Fm4]]=0,"","Y_"&amp;T_Y[[#This Row],[Fm4]]&amp;", ")</f>
        <v xml:space="preserve">Y_OU_WsnNFnd, </v>
      </c>
      <c r="M19" s="23" t="str">
        <f>IF(T_Y[[#This Row],[Fm5]]=0,"","Y_"&amp;T_Y[[#This Row],[Fm5]]&amp;", ")</f>
        <v xml:space="preserve">Y_OU_FxExtnNFnd, </v>
      </c>
      <c r="N19" s="4" t="str">
        <f>"Private Function Y_"&amp;T_Y[1Nm]&amp;T_Y[1Sfx]&amp;"()"&amp;T_Y[1As]&amp;T_Y[1:]</f>
        <v xml:space="preserve">Private Function Y_OU_AllFun() As 18:         </v>
      </c>
      <c r="O19" s="4" t="str">
        <f>T_Y[[#This Row],[Key]]</f>
        <v>OU_All</v>
      </c>
      <c r="P19" s="4" t="str">
        <f>IF(T_Y[FnSfx]=0,"",T_Y[FnSfx])</f>
        <v>Fun</v>
      </c>
      <c r="Q19" s="4" t="str">
        <f>IF(T_Y[RetTy]=0,""," As "&amp;T_Y[RetTy])</f>
        <v xml:space="preserve"> As 18</v>
      </c>
      <c r="R19" s="4" t="str">
        <f>":"&amp;REPT(" ",T_Y[[#This Row],[1Filler]]+1)</f>
        <v xml:space="preserve">:         </v>
      </c>
      <c r="S19" s="4">
        <f>LEN(T_Y[1Nm])</f>
        <v>6</v>
      </c>
      <c r="T19" s="4">
        <f>T_Y[[#Totals],[1Len]]-T_Y[[#This Row],[1Len]]</f>
        <v>8</v>
      </c>
      <c r="U19" s="4" t="str">
        <f>T_Y[[#This Row],[2Spc]]&amp;"Y_"&amp;T_Y[[#This Row],[Key]]&amp;" = "</f>
        <v xml:space="preserve">        Y_OU_All = </v>
      </c>
      <c r="V19" s="4" t="str">
        <f>REPT(" ",T_Y[[#This Row],[1Filler]])</f>
        <v xml:space="preserve">        </v>
      </c>
      <c r="W19" s="4" t="e">
        <f>"B_"&amp;T_Y[[#This Row],[Key]]&amp;"("&amp;T_Y[[#This Row],[3Pm]]&amp;"):"&amp;T_Y[3Spc]</f>
        <v>#NULL!</v>
      </c>
      <c r="X19" s="23" t="e">
        <f>#NULL!</f>
        <v>#NULL!</v>
      </c>
      <c r="Y19" s="4" t="e">
        <f>REPT(" ",T_Y[[#This Row],[1Filler]]+T_Y[[#This Row],[3PmFiller]])</f>
        <v>#NULL!</v>
      </c>
      <c r="Z19" s="4" t="e">
        <f>LEN(T_Y[[#This Row],[3Pm]])</f>
        <v>#NULL!</v>
      </c>
      <c r="AA19" s="4" t="e">
        <f>T_Y[[#Totals],[3PmLen]]-T_Y[[#This Row],[3PmLen]]</f>
        <v>#NULL!</v>
      </c>
      <c r="AB19" s="6" t="e">
        <f>T_Y[[#This Row],[1]]&amp;T_Y[[#This Row],[2]]&amp;T_Y[[#This Row],[3]]&amp;"End Function"</f>
        <v>#NULL!</v>
      </c>
      <c r="AC19"/>
    </row>
    <row r="20" spans="1:29" x14ac:dyDescent="0.35">
      <c r="A20" t="str">
        <f>Src!A24</f>
        <v>OS_FldDup</v>
      </c>
      <c r="B20" s="36" t="str">
        <f>VLOOKUP(T_Y[[#This Row],[Key]],T_Src[],4,FALSE)</f>
        <v>Fun</v>
      </c>
      <c r="C20" s="36">
        <f>VLOOKUP(T_Y[[#This Row],[Key]],T_Src[],5,FALSE)</f>
        <v>19</v>
      </c>
      <c r="D20" s="23" t="str">
        <f>VLOOKUP(T_Y[[#This Row],[Key]],T_Src[],Fm1Col,FALSE)</f>
        <v>Lss S F</v>
      </c>
      <c r="E20" s="23">
        <f>VLOOKUP(T_Y[[#This Row],[Key]],T_Src[],Fm2Col,FALSE)</f>
        <v>0</v>
      </c>
      <c r="F20" s="23" t="str">
        <f>VLOOKUP(T_Y[[#This Row],[Key]],T_Src[],Fm3Col,FALSE)</f>
        <v>IInpFil</v>
      </c>
      <c r="G20" s="23">
        <f>VLOOKUP(T_Y[[#This Row],[Key]],T_Src[],Fm4Col,FALSE)</f>
        <v>0</v>
      </c>
      <c r="H20" s="23">
        <f>VLOOKUP(T_Y[[#This Row],[Key]],T_Src[],Fm5Col,FALSE)</f>
        <v>0</v>
      </c>
      <c r="I20" s="23" t="str">
        <f>IF(T_Y[[#This Row],[Fm1]]=0,"","Y_"&amp;T_Y[[#This Row],[Fm1]])&amp;", "</f>
        <v xml:space="preserve">Y_Lss S F, </v>
      </c>
      <c r="J20" s="23" t="str">
        <f>IF(T_Y[[#This Row],[Fm2]]=0,"","Y_"&amp;T_Y[[#This Row],[Fm2]]&amp;", ")</f>
        <v/>
      </c>
      <c r="K20" s="23" t="str">
        <f>IF(T_Y[[#This Row],[Fm3]]=0,"","Y_"&amp;T_Y[[#This Row],[Fm3]]&amp;", ")</f>
        <v xml:space="preserve">Y_IInpFil, </v>
      </c>
      <c r="L20" s="23" t="str">
        <f>IF(T_Y[[#This Row],[Fm4]]=0,"","Y_"&amp;T_Y[[#This Row],[Fm4]]&amp;", ")</f>
        <v/>
      </c>
      <c r="M20" s="23" t="str">
        <f>IF(T_Y[[#This Row],[Fm5]]=0,"","Y_"&amp;T_Y[[#This Row],[Fm5]]&amp;", ")</f>
        <v/>
      </c>
      <c r="N20" s="4" t="str">
        <f>"Private Function Y_"&amp;T_Y[1Nm]&amp;T_Y[1Sfx]&amp;"()"&amp;T_Y[1As]&amp;T_Y[1:]</f>
        <v xml:space="preserve">Private Function Y_OS_FldDupFun() As 19:      </v>
      </c>
      <c r="O20" s="4" t="str">
        <f>T_Y[[#This Row],[Key]]</f>
        <v>OS_FldDup</v>
      </c>
      <c r="P20" s="4" t="str">
        <f>IF(T_Y[FnSfx]=0,"",T_Y[FnSfx])</f>
        <v>Fun</v>
      </c>
      <c r="Q20" s="4" t="str">
        <f>IF(T_Y[RetTy]=0,""," As "&amp;T_Y[RetTy])</f>
        <v xml:space="preserve"> As 19</v>
      </c>
      <c r="R20" s="4" t="str">
        <f>":"&amp;REPT(" ",T_Y[[#This Row],[1Filler]]+1)</f>
        <v xml:space="preserve">:      </v>
      </c>
      <c r="S20" s="4">
        <f>LEN(T_Y[1Nm])</f>
        <v>9</v>
      </c>
      <c r="T20" s="4">
        <f>T_Y[[#Totals],[1Len]]-T_Y[[#This Row],[1Len]]</f>
        <v>5</v>
      </c>
      <c r="U20" s="4" t="str">
        <f>T_Y[[#This Row],[2Spc]]&amp;"Y_"&amp;T_Y[[#This Row],[Key]]&amp;" = "</f>
        <v xml:space="preserve">     Y_OS_FldDup = </v>
      </c>
      <c r="V20" s="4" t="str">
        <f>REPT(" ",T_Y[[#This Row],[1Filler]])</f>
        <v xml:space="preserve">     </v>
      </c>
      <c r="W20" s="4" t="e">
        <f>"B_"&amp;T_Y[[#This Row],[Key]]&amp;"("&amp;T_Y[[#This Row],[3Pm]]&amp;"):"&amp;T_Y[3Spc]</f>
        <v>#NULL!</v>
      </c>
      <c r="X20" s="23" t="e">
        <f>#NULL!</f>
        <v>#NULL!</v>
      </c>
      <c r="Y20" s="4" t="e">
        <f>REPT(" ",T_Y[[#This Row],[1Filler]]+T_Y[[#This Row],[3PmFiller]])</f>
        <v>#NULL!</v>
      </c>
      <c r="Z20" s="4" t="e">
        <f>LEN(T_Y[[#This Row],[3Pm]])</f>
        <v>#NULL!</v>
      </c>
      <c r="AA20" s="4" t="e">
        <f>T_Y[[#Totals],[3PmLen]]-T_Y[[#This Row],[3PmLen]]</f>
        <v>#NULL!</v>
      </c>
      <c r="AB20" s="6" t="e">
        <f>T_Y[[#This Row],[1]]&amp;T_Y[[#This Row],[2]]&amp;T_Y[[#This Row],[3]]&amp;"End Function"</f>
        <v>#NULL!</v>
      </c>
      <c r="AC20"/>
    </row>
    <row r="21" spans="1:29" x14ac:dyDescent="0.35">
      <c r="A21" t="str">
        <f>Src!A25</f>
        <v>OS_StruDup</v>
      </c>
      <c r="B21" s="36" t="str">
        <f>VLOOKUP(T_Y[[#This Row],[Key]],T_Src[],4,FALSE)</f>
        <v>Fun</v>
      </c>
      <c r="C21" s="36">
        <f>VLOOKUP(T_Y[[#This Row],[Key]],T_Src[],5,FALSE)</f>
        <v>20</v>
      </c>
      <c r="D21" s="23" t="str">
        <f>VLOOKUP(T_Y[[#This Row],[Key]],T_Src[],Fm1Col,FALSE)</f>
        <v>Lss S</v>
      </c>
      <c r="E21" s="23" t="str">
        <f>VLOOKUP(T_Y[[#This Row],[Key]],T_Src[],Fm2Col,FALSE)</f>
        <v>JStru</v>
      </c>
      <c r="F21" s="23" t="str">
        <f>VLOOKUP(T_Y[[#This Row],[Key]],T_Src[],Fm3Col,FALSE)</f>
        <v>IInpFil</v>
      </c>
      <c r="G21" s="23">
        <f>VLOOKUP(T_Y[[#This Row],[Key]],T_Src[],Fm4Col,FALSE)</f>
        <v>0</v>
      </c>
      <c r="H21" s="23">
        <f>VLOOKUP(T_Y[[#This Row],[Key]],T_Src[],Fm5Col,FALSE)</f>
        <v>0</v>
      </c>
      <c r="I21" s="23" t="str">
        <f>IF(T_Y[[#This Row],[Fm1]]=0,"","Y_"&amp;T_Y[[#This Row],[Fm1]])&amp;", "</f>
        <v xml:space="preserve">Y_Lss S, </v>
      </c>
      <c r="J21" s="23" t="str">
        <f>IF(T_Y[[#This Row],[Fm2]]=0,"","Y_"&amp;T_Y[[#This Row],[Fm2]]&amp;", ")</f>
        <v xml:space="preserve">Y_JStru, </v>
      </c>
      <c r="K21" s="23" t="str">
        <f>IF(T_Y[[#This Row],[Fm3]]=0,"","Y_"&amp;T_Y[[#This Row],[Fm3]]&amp;", ")</f>
        <v xml:space="preserve">Y_IInpFil, </v>
      </c>
      <c r="L21" s="23" t="str">
        <f>IF(T_Y[[#This Row],[Fm4]]=0,"","Y_"&amp;T_Y[[#This Row],[Fm4]]&amp;", ")</f>
        <v/>
      </c>
      <c r="M21" s="23" t="str">
        <f>IF(T_Y[[#This Row],[Fm5]]=0,"","Y_"&amp;T_Y[[#This Row],[Fm5]]&amp;", ")</f>
        <v/>
      </c>
      <c r="N21" s="4" t="str">
        <f>"Private Function Y_"&amp;T_Y[1Nm]&amp;T_Y[1Sfx]&amp;"()"&amp;T_Y[1As]&amp;T_Y[1:]</f>
        <v xml:space="preserve">Private Function Y_OS_StruDupFun() As 20:     </v>
      </c>
      <c r="O21" s="4" t="str">
        <f>T_Y[[#This Row],[Key]]</f>
        <v>OS_StruDup</v>
      </c>
      <c r="P21" s="4" t="str">
        <f>IF(T_Y[FnSfx]=0,"",T_Y[FnSfx])</f>
        <v>Fun</v>
      </c>
      <c r="Q21" s="4" t="str">
        <f>IF(T_Y[RetTy]=0,""," As "&amp;T_Y[RetTy])</f>
        <v xml:space="preserve"> As 20</v>
      </c>
      <c r="R21" s="4" t="str">
        <f>":"&amp;REPT(" ",T_Y[[#This Row],[1Filler]]+1)</f>
        <v xml:space="preserve">:     </v>
      </c>
      <c r="S21" s="4">
        <f>LEN(T_Y[1Nm])</f>
        <v>10</v>
      </c>
      <c r="T21" s="4">
        <f>T_Y[[#Totals],[1Len]]-T_Y[[#This Row],[1Len]]</f>
        <v>4</v>
      </c>
      <c r="U21" s="4" t="str">
        <f>T_Y[[#This Row],[2Spc]]&amp;"Y_"&amp;T_Y[[#This Row],[Key]]&amp;" = "</f>
        <v xml:space="preserve">    Y_OS_StruDup = </v>
      </c>
      <c r="V21" s="4" t="str">
        <f>REPT(" ",T_Y[[#This Row],[1Filler]])</f>
        <v xml:space="preserve">    </v>
      </c>
      <c r="W21" s="4" t="e">
        <f>"B_"&amp;T_Y[[#This Row],[Key]]&amp;"("&amp;T_Y[[#This Row],[3Pm]]&amp;"):"&amp;T_Y[3Spc]</f>
        <v>#NULL!</v>
      </c>
      <c r="X21" s="23" t="e">
        <f>#NULL!</f>
        <v>#NULL!</v>
      </c>
      <c r="Y21" s="4" t="e">
        <f>REPT(" ",T_Y[[#This Row],[1Filler]]+T_Y[[#This Row],[3PmFiller]])</f>
        <v>#NULL!</v>
      </c>
      <c r="Z21" s="4" t="e">
        <f>LEN(T_Y[[#This Row],[3Pm]])</f>
        <v>#NULL!</v>
      </c>
      <c r="AA21" s="4" t="e">
        <f>T_Y[[#Totals],[3PmLen]]-T_Y[[#This Row],[3PmLen]]</f>
        <v>#NULL!</v>
      </c>
      <c r="AB21" s="6" t="e">
        <f>T_Y[[#This Row],[1]]&amp;T_Y[[#This Row],[2]]&amp;T_Y[[#This Row],[3]]&amp;"End Function"</f>
        <v>#NULL!</v>
      </c>
      <c r="AC21"/>
    </row>
    <row r="22" spans="1:29" x14ac:dyDescent="0.35">
      <c r="A22" t="str">
        <f>Src!A26</f>
        <v>OS_FldTyEr</v>
      </c>
      <c r="B22" s="36" t="str">
        <f>VLOOKUP(T_Y[[#This Row],[Key]],T_Src[],4,FALSE)</f>
        <v>Fun</v>
      </c>
      <c r="C22" s="36">
        <f>VLOOKUP(T_Y[[#This Row],[Key]],T_Src[],5,FALSE)</f>
        <v>21</v>
      </c>
      <c r="D22" s="23" t="str">
        <f>VLOOKUP(T_Y[[#This Row],[Key]],T_Src[],Fm1Col,FALSE)</f>
        <v>L S F Ty</v>
      </c>
      <c r="E22" s="23">
        <f>VLOOKUP(T_Y[[#This Row],[Key]],T_Src[],Fm2Col,FALSE)</f>
        <v>0</v>
      </c>
      <c r="F22" s="23" t="str">
        <f>VLOOKUP(T_Y[[#This Row],[Key]],T_Src[],Fm3Col,FALSE)</f>
        <v>IInpFil</v>
      </c>
      <c r="G22" s="23">
        <f>VLOOKUP(T_Y[[#This Row],[Key]],T_Src[],Fm4Col,FALSE)</f>
        <v>0</v>
      </c>
      <c r="H22" s="23">
        <f>VLOOKUP(T_Y[[#This Row],[Key]],T_Src[],Fm5Col,FALSE)</f>
        <v>0</v>
      </c>
      <c r="I22" s="23" t="str">
        <f>IF(T_Y[[#This Row],[Fm1]]=0,"","Y_"&amp;T_Y[[#This Row],[Fm1]])&amp;", "</f>
        <v xml:space="preserve">Y_L S F Ty, </v>
      </c>
      <c r="J22" s="23" t="str">
        <f>IF(T_Y[[#This Row],[Fm2]]=0,"","Y_"&amp;T_Y[[#This Row],[Fm2]]&amp;", ")</f>
        <v/>
      </c>
      <c r="K22" s="23" t="str">
        <f>IF(T_Y[[#This Row],[Fm3]]=0,"","Y_"&amp;T_Y[[#This Row],[Fm3]]&amp;", ")</f>
        <v xml:space="preserve">Y_IInpFil, </v>
      </c>
      <c r="L22" s="23" t="str">
        <f>IF(T_Y[[#This Row],[Fm4]]=0,"","Y_"&amp;T_Y[[#This Row],[Fm4]]&amp;", ")</f>
        <v/>
      </c>
      <c r="M22" s="23" t="str">
        <f>IF(T_Y[[#This Row],[Fm5]]=0,"","Y_"&amp;T_Y[[#This Row],[Fm5]]&amp;", ")</f>
        <v/>
      </c>
      <c r="N22" s="4" t="str">
        <f>"Private Function Y_"&amp;T_Y[1Nm]&amp;T_Y[1Sfx]&amp;"()"&amp;T_Y[1As]&amp;T_Y[1:]</f>
        <v xml:space="preserve">Private Function Y_OS_FldTyErFun() As 21:     </v>
      </c>
      <c r="O22" s="4" t="str">
        <f>T_Y[[#This Row],[Key]]</f>
        <v>OS_FldTyEr</v>
      </c>
      <c r="P22" s="4" t="str">
        <f>IF(T_Y[FnSfx]=0,"",T_Y[FnSfx])</f>
        <v>Fun</v>
      </c>
      <c r="Q22" s="4" t="str">
        <f>IF(T_Y[RetTy]=0,""," As "&amp;T_Y[RetTy])</f>
        <v xml:space="preserve"> As 21</v>
      </c>
      <c r="R22" s="4" t="str">
        <f>":"&amp;REPT(" ",T_Y[[#This Row],[1Filler]]+1)</f>
        <v xml:space="preserve">:     </v>
      </c>
      <c r="S22" s="4">
        <f>LEN(T_Y[1Nm])</f>
        <v>10</v>
      </c>
      <c r="T22" s="4">
        <f>T_Y[[#Totals],[1Len]]-T_Y[[#This Row],[1Len]]</f>
        <v>4</v>
      </c>
      <c r="U22" s="4" t="str">
        <f>T_Y[[#This Row],[2Spc]]&amp;"Y_"&amp;T_Y[[#This Row],[Key]]&amp;" = "</f>
        <v xml:space="preserve">    Y_OS_FldTyEr = </v>
      </c>
      <c r="V22" s="4" t="str">
        <f>REPT(" ",T_Y[[#This Row],[1Filler]])</f>
        <v xml:space="preserve">    </v>
      </c>
      <c r="W22" s="4" t="e">
        <f>"B_"&amp;T_Y[[#This Row],[Key]]&amp;"("&amp;T_Y[[#This Row],[3Pm]]&amp;"):"&amp;T_Y[3Spc]</f>
        <v>#NULL!</v>
      </c>
      <c r="X22" s="23" t="e">
        <f>#NULL!</f>
        <v>#NULL!</v>
      </c>
      <c r="Y22" s="4" t="e">
        <f>REPT(" ",T_Y[[#This Row],[1Filler]]+T_Y[[#This Row],[3PmFiller]])</f>
        <v>#NULL!</v>
      </c>
      <c r="Z22" s="4" t="e">
        <f>LEN(T_Y[[#This Row],[3Pm]])</f>
        <v>#NULL!</v>
      </c>
      <c r="AA22" s="4" t="e">
        <f>T_Y[[#Totals],[3PmLen]]-T_Y[[#This Row],[3PmLen]]</f>
        <v>#NULL!</v>
      </c>
      <c r="AB22" s="6" t="e">
        <f>T_Y[[#This Row],[1]]&amp;T_Y[[#This Row],[2]]&amp;T_Y[[#This Row],[3]]&amp;"End Function"</f>
        <v>#NULL!</v>
      </c>
      <c r="AC22"/>
    </row>
    <row r="23" spans="1:29" x14ac:dyDescent="0.35">
      <c r="A23" t="str">
        <f>Src!A27</f>
        <v>OS_StruExcess</v>
      </c>
      <c r="B23" s="36" t="str">
        <f>VLOOKUP(T_Y[[#This Row],[Key]],T_Src[],4,FALSE)</f>
        <v>Fun</v>
      </c>
      <c r="C23" s="36">
        <f>VLOOKUP(T_Y[[#This Row],[Key]],T_Src[],5,FALSE)</f>
        <v>22</v>
      </c>
      <c r="D23" s="23" t="str">
        <f>VLOOKUP(T_Y[[#This Row],[Key]],T_Src[],Fm1Col,FALSE)</f>
        <v>L S</v>
      </c>
      <c r="E23" s="23" t="str">
        <f>VLOOKUP(T_Y[[#This Row],[Key]],T_Src[],Fm2Col,FALSE)</f>
        <v>JStru</v>
      </c>
      <c r="F23" s="23" t="str">
        <f>VLOOKUP(T_Y[[#This Row],[Key]],T_Src[],Fm3Col,FALSE)</f>
        <v>IInpFil</v>
      </c>
      <c r="G23" s="23">
        <f>VLOOKUP(T_Y[[#This Row],[Key]],T_Src[],Fm4Col,FALSE)</f>
        <v>0</v>
      </c>
      <c r="H23" s="23">
        <f>VLOOKUP(T_Y[[#This Row],[Key]],T_Src[],Fm5Col,FALSE)</f>
        <v>0</v>
      </c>
      <c r="I23" s="23" t="str">
        <f>IF(T_Y[[#This Row],[Fm1]]=0,"","Y_"&amp;T_Y[[#This Row],[Fm1]])&amp;", "</f>
        <v xml:space="preserve">Y_L S, </v>
      </c>
      <c r="J23" s="23" t="str">
        <f>IF(T_Y[[#This Row],[Fm2]]=0,"","Y_"&amp;T_Y[[#This Row],[Fm2]]&amp;", ")</f>
        <v xml:space="preserve">Y_JStru, </v>
      </c>
      <c r="K23" s="23" t="str">
        <f>IF(T_Y[[#This Row],[Fm3]]=0,"","Y_"&amp;T_Y[[#This Row],[Fm3]]&amp;", ")</f>
        <v xml:space="preserve">Y_IInpFil, </v>
      </c>
      <c r="L23" s="23" t="str">
        <f>IF(T_Y[[#This Row],[Fm4]]=0,"","Y_"&amp;T_Y[[#This Row],[Fm4]]&amp;", ")</f>
        <v/>
      </c>
      <c r="M23" s="23" t="str">
        <f>IF(T_Y[[#This Row],[Fm5]]=0,"","Y_"&amp;T_Y[[#This Row],[Fm5]]&amp;", ")</f>
        <v/>
      </c>
      <c r="N23" s="4" t="str">
        <f>"Private Function Y_"&amp;T_Y[1Nm]&amp;T_Y[1Sfx]&amp;"()"&amp;T_Y[1As]&amp;T_Y[1:]</f>
        <v xml:space="preserve">Private Function Y_OS_StruExcessFun() As 22:  </v>
      </c>
      <c r="O23" s="4" t="str">
        <f>T_Y[[#This Row],[Key]]</f>
        <v>OS_StruExcess</v>
      </c>
      <c r="P23" s="4" t="str">
        <f>IF(T_Y[FnSfx]=0,"",T_Y[FnSfx])</f>
        <v>Fun</v>
      </c>
      <c r="Q23" s="4" t="str">
        <f>IF(T_Y[RetTy]=0,""," As "&amp;T_Y[RetTy])</f>
        <v xml:space="preserve"> As 22</v>
      </c>
      <c r="R23" s="4" t="str">
        <f>":"&amp;REPT(" ",T_Y[[#This Row],[1Filler]]+1)</f>
        <v xml:space="preserve">:  </v>
      </c>
      <c r="S23" s="4">
        <f>LEN(T_Y[1Nm])</f>
        <v>13</v>
      </c>
      <c r="T23" s="4">
        <f>T_Y[[#Totals],[1Len]]-T_Y[[#This Row],[1Len]]</f>
        <v>1</v>
      </c>
      <c r="U23" s="4" t="str">
        <f>T_Y[[#This Row],[2Spc]]&amp;"Y_"&amp;T_Y[[#This Row],[Key]]&amp;" = "</f>
        <v xml:space="preserve"> Y_OS_StruExcess = </v>
      </c>
      <c r="V23" s="4" t="str">
        <f>REPT(" ",T_Y[[#This Row],[1Filler]])</f>
        <v xml:space="preserve"> </v>
      </c>
      <c r="W23" s="4" t="e">
        <f>"B_"&amp;T_Y[[#This Row],[Key]]&amp;"("&amp;T_Y[[#This Row],[3Pm]]&amp;"):"&amp;T_Y[3Spc]</f>
        <v>#NULL!</v>
      </c>
      <c r="X23" s="23" t="e">
        <f>#NULL!</f>
        <v>#NULL!</v>
      </c>
      <c r="Y23" s="4" t="e">
        <f>REPT(" ",T_Y[[#This Row],[1Filler]]+T_Y[[#This Row],[3PmFiller]])</f>
        <v>#NULL!</v>
      </c>
      <c r="Z23" s="4" t="e">
        <f>LEN(T_Y[[#This Row],[3Pm]])</f>
        <v>#NULL!</v>
      </c>
      <c r="AA23" s="4" t="e">
        <f>T_Y[[#Totals],[3PmLen]]-T_Y[[#This Row],[3PmLen]]</f>
        <v>#NULL!</v>
      </c>
      <c r="AB23" s="6" t="e">
        <f>T_Y[[#This Row],[1]]&amp;T_Y[[#This Row],[2]]&amp;T_Y[[#This Row],[3]]&amp;"End Function"</f>
        <v>#NULL!</v>
      </c>
      <c r="AC23"/>
    </row>
    <row r="24" spans="1:29" x14ac:dyDescent="0.35">
      <c r="A24" t="str">
        <f>Src!A28</f>
        <v>OS_StruInUse</v>
      </c>
      <c r="B24" s="36" t="str">
        <f>VLOOKUP(T_Y[[#This Row],[Key]],T_Src[],4,FALSE)</f>
        <v>Fun</v>
      </c>
      <c r="C24" s="36">
        <f>VLOOKUP(T_Y[[#This Row],[Key]],T_Src[],5,FALSE)</f>
        <v>23</v>
      </c>
      <c r="D24" s="23" t="str">
        <f>VLOOKUP(T_Y[[#This Row],[Key]],T_Src[],Fm1Col,FALSE)</f>
        <v>Lss S</v>
      </c>
      <c r="E24" s="23" t="str">
        <f>VLOOKUP(T_Y[[#This Row],[Key]],T_Src[],Fm2Col,FALSE)</f>
        <v>JStru</v>
      </c>
      <c r="F24" s="23" t="str">
        <f>VLOOKUP(T_Y[[#This Row],[Key]],T_Src[],Fm3Col,FALSE)</f>
        <v>IInpFil</v>
      </c>
      <c r="G24" s="23">
        <f>VLOOKUP(T_Y[[#This Row],[Key]],T_Src[],Fm4Col,FALSE)</f>
        <v>0</v>
      </c>
      <c r="H24" s="23">
        <f>VLOOKUP(T_Y[[#This Row],[Key]],T_Src[],Fm5Col,FALSE)</f>
        <v>0</v>
      </c>
      <c r="I24" s="23" t="str">
        <f>IF(T_Y[[#This Row],[Fm1]]=0,"","Y_"&amp;T_Y[[#This Row],[Fm1]])&amp;", "</f>
        <v xml:space="preserve">Y_Lss S, </v>
      </c>
      <c r="J24" s="23" t="str">
        <f>IF(T_Y[[#This Row],[Fm2]]=0,"","Y_"&amp;T_Y[[#This Row],[Fm2]]&amp;", ")</f>
        <v xml:space="preserve">Y_JStru, </v>
      </c>
      <c r="K24" s="23" t="str">
        <f>IF(T_Y[[#This Row],[Fm3]]=0,"","Y_"&amp;T_Y[[#This Row],[Fm3]]&amp;", ")</f>
        <v xml:space="preserve">Y_IInpFil, </v>
      </c>
      <c r="L24" s="23" t="str">
        <f>IF(T_Y[[#This Row],[Fm4]]=0,"","Y_"&amp;T_Y[[#This Row],[Fm4]]&amp;", ")</f>
        <v/>
      </c>
      <c r="M24" s="23" t="str">
        <f>IF(T_Y[[#This Row],[Fm5]]=0,"","Y_"&amp;T_Y[[#This Row],[Fm5]]&amp;", ")</f>
        <v/>
      </c>
      <c r="N24" s="4" t="str">
        <f>"Private Function Y_"&amp;T_Y[1Nm]&amp;T_Y[1Sfx]&amp;"()"&amp;T_Y[1As]&amp;T_Y[1:]</f>
        <v xml:space="preserve">Private Function Y_OS_StruInUseFun() As 23:   </v>
      </c>
      <c r="O24" s="4" t="str">
        <f>T_Y[[#This Row],[Key]]</f>
        <v>OS_StruInUse</v>
      </c>
      <c r="P24" s="4" t="str">
        <f>IF(T_Y[FnSfx]=0,"",T_Y[FnSfx])</f>
        <v>Fun</v>
      </c>
      <c r="Q24" s="4" t="str">
        <f>IF(T_Y[RetTy]=0,""," As "&amp;T_Y[RetTy])</f>
        <v xml:space="preserve"> As 23</v>
      </c>
      <c r="R24" s="4" t="str">
        <f>":"&amp;REPT(" ",T_Y[[#This Row],[1Filler]]+1)</f>
        <v xml:space="preserve">:   </v>
      </c>
      <c r="S24" s="4">
        <f>LEN(T_Y[1Nm])</f>
        <v>12</v>
      </c>
      <c r="T24" s="4">
        <f>T_Y[[#Totals],[1Len]]-T_Y[[#This Row],[1Len]]</f>
        <v>2</v>
      </c>
      <c r="U24" s="4" t="str">
        <f>T_Y[[#This Row],[2Spc]]&amp;"Y_"&amp;T_Y[[#This Row],[Key]]&amp;" = "</f>
        <v xml:space="preserve">  Y_OS_StruInUse = </v>
      </c>
      <c r="V24" s="4" t="str">
        <f>REPT(" ",T_Y[[#This Row],[1Filler]])</f>
        <v xml:space="preserve">  </v>
      </c>
      <c r="W24" s="4" t="e">
        <f>"B_"&amp;T_Y[[#This Row],[Key]]&amp;"("&amp;T_Y[[#This Row],[3Pm]]&amp;"):"&amp;T_Y[3Spc]</f>
        <v>#NULL!</v>
      </c>
      <c r="X24" s="23" t="e">
        <f>#NULL!</f>
        <v>#NULL!</v>
      </c>
      <c r="Y24" s="4" t="e">
        <f>REPT(" ",T_Y[[#This Row],[1Filler]]+T_Y[[#This Row],[3PmFiller]])</f>
        <v>#NULL!</v>
      </c>
      <c r="Z24" s="4" t="e">
        <f>LEN(T_Y[[#This Row],[3Pm]])</f>
        <v>#NULL!</v>
      </c>
      <c r="AA24" s="4" t="e">
        <f>T_Y[[#Totals],[3PmLen]]-T_Y[[#This Row],[3PmLen]]</f>
        <v>#NULL!</v>
      </c>
      <c r="AB24" s="6" t="e">
        <f>T_Y[[#This Row],[1]]&amp;T_Y[[#This Row],[2]]&amp;T_Y[[#This Row],[3]]&amp;"End Function"</f>
        <v>#NULL!</v>
      </c>
      <c r="AC24"/>
    </row>
    <row r="25" spans="1:29" x14ac:dyDescent="0.35">
      <c r="A25" t="str">
        <f>Src!A29</f>
        <v>OS_FxFldTyMis</v>
      </c>
      <c r="B25" s="36" t="str">
        <f>VLOOKUP(T_Y[[#This Row],[Key]],T_Src[],4,FALSE)</f>
        <v>Fun</v>
      </c>
      <c r="C25" s="36">
        <f>VLOOKUP(T_Y[[#This Row],[Key]],T_Src[],5,FALSE)</f>
        <v>24</v>
      </c>
      <c r="D25" s="23" t="str">
        <f>VLOOKUP(T_Y[[#This Row],[Key]],T_Src[],Fm1Col,FALSE)</f>
        <v>Fxn Fx T Fss</v>
      </c>
      <c r="E25" s="23">
        <f>VLOOKUP(T_Y[[#This Row],[Key]],T_Src[],Fm2Col,FALSE)</f>
        <v>0</v>
      </c>
      <c r="F25" s="23" t="str">
        <f>VLOOKUP(T_Y[[#This Row],[Key]],T_Src[],Fm3Col,FALSE)</f>
        <v>IInpFil</v>
      </c>
      <c r="G25" s="23">
        <f>VLOOKUP(T_Y[[#This Row],[Key]],T_Src[],Fm4Col,FALSE)</f>
        <v>0</v>
      </c>
      <c r="H25" s="23">
        <f>VLOOKUP(T_Y[[#This Row],[Key]],T_Src[],Fm5Col,FALSE)</f>
        <v>0</v>
      </c>
      <c r="I25" s="23" t="str">
        <f>IF(T_Y[[#This Row],[Fm1]]=0,"","Y_"&amp;T_Y[[#This Row],[Fm1]])&amp;", "</f>
        <v xml:space="preserve">Y_Fxn Fx T Fss, </v>
      </c>
      <c r="J25" s="23" t="str">
        <f>IF(T_Y[[#This Row],[Fm2]]=0,"","Y_"&amp;T_Y[[#This Row],[Fm2]]&amp;", ")</f>
        <v/>
      </c>
      <c r="K25" s="23" t="str">
        <f>IF(T_Y[[#This Row],[Fm3]]=0,"","Y_"&amp;T_Y[[#This Row],[Fm3]]&amp;", ")</f>
        <v xml:space="preserve">Y_IInpFil, </v>
      </c>
      <c r="L25" s="23" t="str">
        <f>IF(T_Y[[#This Row],[Fm4]]=0,"","Y_"&amp;T_Y[[#This Row],[Fm4]]&amp;", ")</f>
        <v/>
      </c>
      <c r="M25" s="23" t="str">
        <f>IF(T_Y[[#This Row],[Fm5]]=0,"","Y_"&amp;T_Y[[#This Row],[Fm5]]&amp;", ")</f>
        <v/>
      </c>
      <c r="N25" s="4" t="str">
        <f>"Private Function Y_"&amp;T_Y[1Nm]&amp;T_Y[1Sfx]&amp;"()"&amp;T_Y[1As]&amp;T_Y[1:]</f>
        <v xml:space="preserve">Private Function Y_OS_FxFldTyMisFun() As 24:  </v>
      </c>
      <c r="O25" s="4" t="str">
        <f>T_Y[[#This Row],[Key]]</f>
        <v>OS_FxFldTyMis</v>
      </c>
      <c r="P25" s="4" t="str">
        <f>IF(T_Y[FnSfx]=0,"",T_Y[FnSfx])</f>
        <v>Fun</v>
      </c>
      <c r="Q25" s="4" t="str">
        <f>IF(T_Y[RetTy]=0,""," As "&amp;T_Y[RetTy])</f>
        <v xml:space="preserve"> As 24</v>
      </c>
      <c r="R25" s="4" t="str">
        <f>":"&amp;REPT(" ",T_Y[[#This Row],[1Filler]]+1)</f>
        <v xml:space="preserve">:  </v>
      </c>
      <c r="S25" s="4">
        <f>LEN(T_Y[1Nm])</f>
        <v>13</v>
      </c>
      <c r="T25" s="4">
        <f>T_Y[[#Totals],[1Len]]-T_Y[[#This Row],[1Len]]</f>
        <v>1</v>
      </c>
      <c r="U25" s="4" t="str">
        <f>T_Y[[#This Row],[2Spc]]&amp;"Y_"&amp;T_Y[[#This Row],[Key]]&amp;" = "</f>
        <v xml:space="preserve"> Y_OS_FxFldTyMis = </v>
      </c>
      <c r="V25" s="4" t="str">
        <f>REPT(" ",T_Y[[#This Row],[1Filler]])</f>
        <v xml:space="preserve"> </v>
      </c>
      <c r="W25" s="4" t="e">
        <f>"B_"&amp;T_Y[[#This Row],[Key]]&amp;"("&amp;T_Y[[#This Row],[3Pm]]&amp;"):"&amp;T_Y[3Spc]</f>
        <v>#NULL!</v>
      </c>
      <c r="X25" s="23" t="e">
        <f>#NULL!</f>
        <v>#NULL!</v>
      </c>
      <c r="Y25" s="4" t="e">
        <f>REPT(" ",T_Y[[#This Row],[1Filler]]+T_Y[[#This Row],[3PmFiller]])</f>
        <v>#NULL!</v>
      </c>
      <c r="Z25" s="4" t="e">
        <f>LEN(T_Y[[#This Row],[3Pm]])</f>
        <v>#NULL!</v>
      </c>
      <c r="AA25" s="4" t="e">
        <f>T_Y[[#Totals],[3PmLen]]-T_Y[[#This Row],[3PmLen]]</f>
        <v>#NULL!</v>
      </c>
      <c r="AB25" s="6" t="e">
        <f>T_Y[[#This Row],[1]]&amp;T_Y[[#This Row],[2]]&amp;T_Y[[#This Row],[3]]&amp;"End Function"</f>
        <v>#NULL!</v>
      </c>
      <c r="AC25"/>
    </row>
    <row r="26" spans="1:29" x14ac:dyDescent="0.35">
      <c r="A26" t="str">
        <f>Src!A30</f>
        <v>OS_FldMis</v>
      </c>
      <c r="B26" s="36" t="str">
        <f>VLOOKUP(T_Y[[#This Row],[Key]],T_Src[],4,FALSE)</f>
        <v>Fun</v>
      </c>
      <c r="C26" s="36">
        <f>VLOOKUP(T_Y[[#This Row],[Key]],T_Src[],5,FALSE)</f>
        <v>25</v>
      </c>
      <c r="D26" s="23" t="str">
        <f>VLOOKUP(T_Y[[#This Row],[Key]],T_Src[],Fm1Col,FALSE)</f>
        <v>L S</v>
      </c>
      <c r="E26" s="23">
        <f>VLOOKUP(T_Y[[#This Row],[Key]],T_Src[],Fm2Col,FALSE)</f>
        <v>0</v>
      </c>
      <c r="F26" s="23" t="str">
        <f>VLOOKUP(T_Y[[#This Row],[Key]],T_Src[],Fm3Col,FALSE)</f>
        <v>IInpFil</v>
      </c>
      <c r="G26" s="23">
        <f>VLOOKUP(T_Y[[#This Row],[Key]],T_Src[],Fm4Col,FALSE)</f>
        <v>0</v>
      </c>
      <c r="H26" s="23">
        <f>VLOOKUP(T_Y[[#This Row],[Key]],T_Src[],Fm5Col,FALSE)</f>
        <v>0</v>
      </c>
      <c r="I26" s="23" t="str">
        <f>IF(T_Y[[#This Row],[Fm1]]=0,"","Y_"&amp;T_Y[[#This Row],[Fm1]])&amp;", "</f>
        <v xml:space="preserve">Y_L S, </v>
      </c>
      <c r="J26" s="23" t="str">
        <f>IF(T_Y[[#This Row],[Fm2]]=0,"","Y_"&amp;T_Y[[#This Row],[Fm2]]&amp;", ")</f>
        <v/>
      </c>
      <c r="K26" s="23" t="str">
        <f>IF(T_Y[[#This Row],[Fm3]]=0,"","Y_"&amp;T_Y[[#This Row],[Fm3]]&amp;", ")</f>
        <v xml:space="preserve">Y_IInpFil, </v>
      </c>
      <c r="L26" s="23" t="str">
        <f>IF(T_Y[[#This Row],[Fm4]]=0,"","Y_"&amp;T_Y[[#This Row],[Fm4]]&amp;", ")</f>
        <v/>
      </c>
      <c r="M26" s="23" t="str">
        <f>IF(T_Y[[#This Row],[Fm5]]=0,"","Y_"&amp;T_Y[[#This Row],[Fm5]]&amp;", ")</f>
        <v/>
      </c>
      <c r="N26" s="4" t="str">
        <f>"Private Function Y_"&amp;T_Y[1Nm]&amp;T_Y[1Sfx]&amp;"()"&amp;T_Y[1As]&amp;T_Y[1:]</f>
        <v xml:space="preserve">Private Function Y_OS_FldMisFun() As 25:      </v>
      </c>
      <c r="O26" s="4" t="str">
        <f>T_Y[[#This Row],[Key]]</f>
        <v>OS_FldMis</v>
      </c>
      <c r="P26" s="4" t="str">
        <f>IF(T_Y[FnSfx]=0,"",T_Y[FnSfx])</f>
        <v>Fun</v>
      </c>
      <c r="Q26" s="4" t="str">
        <f>IF(T_Y[RetTy]=0,""," As "&amp;T_Y[RetTy])</f>
        <v xml:space="preserve"> As 25</v>
      </c>
      <c r="R26" s="4" t="str">
        <f>":"&amp;REPT(" ",T_Y[[#This Row],[1Filler]]+1)</f>
        <v xml:space="preserve">:      </v>
      </c>
      <c r="S26" s="4">
        <f>LEN(T_Y[1Nm])</f>
        <v>9</v>
      </c>
      <c r="T26" s="4">
        <f>T_Y[[#Totals],[1Len]]-T_Y[[#This Row],[1Len]]</f>
        <v>5</v>
      </c>
      <c r="U26" s="4" t="str">
        <f>T_Y[[#This Row],[2Spc]]&amp;"Y_"&amp;T_Y[[#This Row],[Key]]&amp;" = "</f>
        <v xml:space="preserve">     Y_OS_FldMis = </v>
      </c>
      <c r="V26" s="4" t="str">
        <f>REPT(" ",T_Y[[#This Row],[1Filler]])</f>
        <v xml:space="preserve">     </v>
      </c>
      <c r="W26" s="4" t="e">
        <f>"B_"&amp;T_Y[[#This Row],[Key]]&amp;"("&amp;T_Y[[#This Row],[3Pm]]&amp;"):"&amp;T_Y[3Spc]</f>
        <v>#NULL!</v>
      </c>
      <c r="X26" s="23" t="e">
        <f>#NULL!</f>
        <v>#NULL!</v>
      </c>
      <c r="Y26" s="4" t="e">
        <f>REPT(" ",T_Y[[#This Row],[1Filler]]+T_Y[[#This Row],[3PmFiller]])</f>
        <v>#NULL!</v>
      </c>
      <c r="Z26" s="4" t="e">
        <f>LEN(T_Y[[#This Row],[3Pm]])</f>
        <v>#NULL!</v>
      </c>
      <c r="AA26" s="4" t="e">
        <f>T_Y[[#Totals],[3PmLen]]-T_Y[[#This Row],[3PmLen]]</f>
        <v>#NULL!</v>
      </c>
      <c r="AB26" s="6" t="e">
        <f>T_Y[[#This Row],[1]]&amp;T_Y[[#This Row],[2]]&amp;T_Y[[#This Row],[3]]&amp;"End Function"</f>
        <v>#NULL!</v>
      </c>
      <c r="AC26"/>
    </row>
    <row r="27" spans="1:29" x14ac:dyDescent="0.35">
      <c r="A27" t="str">
        <f>Src!A31</f>
        <v>OS_1</v>
      </c>
      <c r="B27" s="36" t="str">
        <f>VLOOKUP(T_Y[[#This Row],[Key]],T_Src[],4,FALSE)</f>
        <v>Fun</v>
      </c>
      <c r="C27" s="36">
        <f>VLOOKUP(T_Y[[#This Row],[Key]],T_Src[],5,FALSE)</f>
        <v>26</v>
      </c>
      <c r="D27" s="23" t="str">
        <f>VLOOKUP(T_Y[[#This Row],[Key]],T_Src[],Fm1Col,FALSE)</f>
        <v>ErTy Ern L Msg</v>
      </c>
      <c r="E27" s="23" t="str">
        <f>VLOOKUP(T_Y[[#This Row],[Key]],T_Src[],Fm2Col,FALSE)</f>
        <v>OS_FldDup</v>
      </c>
      <c r="F27" s="23" t="str">
        <f>VLOOKUP(T_Y[[#This Row],[Key]],T_Src[],Fm3Col,FALSE)</f>
        <v>OS_StruDup</v>
      </c>
      <c r="G27" s="23" t="str">
        <f>VLOOKUP(T_Y[[#This Row],[Key]],T_Src[],Fm4Col,FALSE)</f>
        <v>OS_FldTyEr</v>
      </c>
      <c r="H27" s="23" t="str">
        <f>VLOOKUP(T_Y[[#This Row],[Key]],T_Src[],Fm5Col,FALSE)</f>
        <v>OS_StruExcess</v>
      </c>
      <c r="I27" s="23" t="str">
        <f>IF(T_Y[[#This Row],[Fm1]]=0,"","Y_"&amp;T_Y[[#This Row],[Fm1]])&amp;", "</f>
        <v xml:space="preserve">Y_ErTy Ern L Msg, </v>
      </c>
      <c r="J27" s="23" t="str">
        <f>IF(T_Y[[#This Row],[Fm2]]=0,"","Y_"&amp;T_Y[[#This Row],[Fm2]]&amp;", ")</f>
        <v xml:space="preserve">Y_OS_FldDup, </v>
      </c>
      <c r="K27" s="23" t="str">
        <f>IF(T_Y[[#This Row],[Fm3]]=0,"","Y_"&amp;T_Y[[#This Row],[Fm3]]&amp;", ")</f>
        <v xml:space="preserve">Y_OS_StruDup, </v>
      </c>
      <c r="L27" s="23" t="str">
        <f>IF(T_Y[[#This Row],[Fm4]]=0,"","Y_"&amp;T_Y[[#This Row],[Fm4]]&amp;", ")</f>
        <v xml:space="preserve">Y_OS_FldTyEr, </v>
      </c>
      <c r="M27" s="23" t="str">
        <f>IF(T_Y[[#This Row],[Fm5]]=0,"","Y_"&amp;T_Y[[#This Row],[Fm5]]&amp;", ")</f>
        <v xml:space="preserve">Y_OS_StruExcess, </v>
      </c>
      <c r="N27" s="4" t="str">
        <f>"Private Function Y_"&amp;T_Y[1Nm]&amp;T_Y[1Sfx]&amp;"()"&amp;T_Y[1As]&amp;T_Y[1:]</f>
        <v xml:space="preserve">Private Function Y_OS_1Fun() As 26:           </v>
      </c>
      <c r="O27" s="4" t="str">
        <f>T_Y[[#This Row],[Key]]</f>
        <v>OS_1</v>
      </c>
      <c r="P27" s="4" t="str">
        <f>IF(T_Y[FnSfx]=0,"",T_Y[FnSfx])</f>
        <v>Fun</v>
      </c>
      <c r="Q27" s="4" t="str">
        <f>IF(T_Y[RetTy]=0,""," As "&amp;T_Y[RetTy])</f>
        <v xml:space="preserve"> As 26</v>
      </c>
      <c r="R27" s="4" t="str">
        <f>":"&amp;REPT(" ",T_Y[[#This Row],[1Filler]]+1)</f>
        <v xml:space="preserve">:           </v>
      </c>
      <c r="S27" s="4">
        <f>LEN(T_Y[1Nm])</f>
        <v>4</v>
      </c>
      <c r="T27" s="4">
        <f>T_Y[[#Totals],[1Len]]-T_Y[[#This Row],[1Len]]</f>
        <v>10</v>
      </c>
      <c r="U27" s="4" t="str">
        <f>T_Y[[#This Row],[2Spc]]&amp;"Y_"&amp;T_Y[[#This Row],[Key]]&amp;" = "</f>
        <v xml:space="preserve">          Y_OS_1 = </v>
      </c>
      <c r="V27" s="4" t="str">
        <f>REPT(" ",T_Y[[#This Row],[1Filler]])</f>
        <v xml:space="preserve">          </v>
      </c>
      <c r="W27" s="4" t="e">
        <f>"B_"&amp;T_Y[[#This Row],[Key]]&amp;"("&amp;T_Y[[#This Row],[3Pm]]&amp;"):"&amp;T_Y[3Spc]</f>
        <v>#NULL!</v>
      </c>
      <c r="X27" s="23" t="e">
        <f>#NULL!</f>
        <v>#NULL!</v>
      </c>
      <c r="Y27" s="4" t="e">
        <f>REPT(" ",T_Y[[#This Row],[1Filler]]+T_Y[[#This Row],[3PmFiller]])</f>
        <v>#NULL!</v>
      </c>
      <c r="Z27" s="4" t="e">
        <f>LEN(T_Y[[#This Row],[3Pm]])</f>
        <v>#NULL!</v>
      </c>
      <c r="AA27" s="4" t="e">
        <f>T_Y[[#Totals],[3PmLen]]-T_Y[[#This Row],[3PmLen]]</f>
        <v>#NULL!</v>
      </c>
      <c r="AB27" s="6" t="e">
        <f>T_Y[[#This Row],[1]]&amp;T_Y[[#This Row],[2]]&amp;T_Y[[#This Row],[3]]&amp;"End Function"</f>
        <v>#NULL!</v>
      </c>
      <c r="AC27"/>
    </row>
    <row r="28" spans="1:29" x14ac:dyDescent="0.35">
      <c r="A28" t="str">
        <f>Src!A35</f>
        <v>OX_FxtDup</v>
      </c>
      <c r="B28" s="36" t="str">
        <f>VLOOKUP(T_Y[[#This Row],[Key]],T_Src[],4,FALSE)</f>
        <v>Fun</v>
      </c>
      <c r="C28" s="36">
        <f>VLOOKUP(T_Y[[#This Row],[Key]],T_Src[],5,FALSE)</f>
        <v>30</v>
      </c>
      <c r="D28" s="23" t="str">
        <f>VLOOKUP(T_Y[[#This Row],[Key]],T_Src[],Fm1Col,FALSE)</f>
        <v>Lss T</v>
      </c>
      <c r="E28" s="23">
        <f>VLOOKUP(T_Y[[#This Row],[Key]],T_Src[],Fm2Col,FALSE)</f>
        <v>0</v>
      </c>
      <c r="F28" s="23" t="str">
        <f>VLOOKUP(T_Y[[#This Row],[Key]],T_Src[],Fm3Col,FALSE)</f>
        <v>IInpFil</v>
      </c>
      <c r="G28" s="23">
        <f>VLOOKUP(T_Y[[#This Row],[Key]],T_Src[],Fm4Col,FALSE)</f>
        <v>0</v>
      </c>
      <c r="H28" s="23">
        <f>VLOOKUP(T_Y[[#This Row],[Key]],T_Src[],Fm5Col,FALSE)</f>
        <v>0</v>
      </c>
      <c r="I28" s="23" t="str">
        <f>IF(T_Y[[#This Row],[Fm1]]=0,"","Y_"&amp;T_Y[[#This Row],[Fm1]])&amp;", "</f>
        <v xml:space="preserve">Y_Lss T, </v>
      </c>
      <c r="J28" s="23" t="str">
        <f>IF(T_Y[[#This Row],[Fm2]]=0,"","Y_"&amp;T_Y[[#This Row],[Fm2]]&amp;", ")</f>
        <v/>
      </c>
      <c r="K28" s="23" t="str">
        <f>IF(T_Y[[#This Row],[Fm3]]=0,"","Y_"&amp;T_Y[[#This Row],[Fm3]]&amp;", ")</f>
        <v xml:space="preserve">Y_IInpFil, </v>
      </c>
      <c r="L28" s="23" t="str">
        <f>IF(T_Y[[#This Row],[Fm4]]=0,"","Y_"&amp;T_Y[[#This Row],[Fm4]]&amp;", ")</f>
        <v/>
      </c>
      <c r="M28" s="23" t="str">
        <f>IF(T_Y[[#This Row],[Fm5]]=0,"","Y_"&amp;T_Y[[#This Row],[Fm5]]&amp;", ")</f>
        <v/>
      </c>
      <c r="N28" s="4" t="str">
        <f>"Private Function Y_"&amp;T_Y[1Nm]&amp;T_Y[1Sfx]&amp;"()"&amp;T_Y[1As]&amp;T_Y[1:]</f>
        <v xml:space="preserve">Private Function Y_OX_FxtDupFun() As 30:      </v>
      </c>
      <c r="O28" s="4" t="str">
        <f>T_Y[[#This Row],[Key]]</f>
        <v>OX_FxtDup</v>
      </c>
      <c r="P28" s="4" t="str">
        <f>IF(T_Y[FnSfx]=0,"",T_Y[FnSfx])</f>
        <v>Fun</v>
      </c>
      <c r="Q28" s="4" t="str">
        <f>IF(T_Y[RetTy]=0,""," As "&amp;T_Y[RetTy])</f>
        <v xml:space="preserve"> As 30</v>
      </c>
      <c r="R28" s="4" t="str">
        <f>":"&amp;REPT(" ",T_Y[[#This Row],[1Filler]]+1)</f>
        <v xml:space="preserve">:      </v>
      </c>
      <c r="S28" s="4">
        <f>LEN(T_Y[1Nm])</f>
        <v>9</v>
      </c>
      <c r="T28" s="4">
        <f>T_Y[[#Totals],[1Len]]-T_Y[[#This Row],[1Len]]</f>
        <v>5</v>
      </c>
      <c r="U28" s="4" t="str">
        <f>T_Y[[#This Row],[2Spc]]&amp;"Y_"&amp;T_Y[[#This Row],[Key]]&amp;" = "</f>
        <v xml:space="preserve">     Y_OX_FxtDup = </v>
      </c>
      <c r="V28" s="4" t="str">
        <f>REPT(" ",T_Y[[#This Row],[1Filler]])</f>
        <v xml:space="preserve">     </v>
      </c>
      <c r="W28" s="4" t="e">
        <f>"B_"&amp;T_Y[[#This Row],[Key]]&amp;"("&amp;T_Y[[#This Row],[3Pm]]&amp;"):"&amp;T_Y[3Spc]</f>
        <v>#NULL!</v>
      </c>
      <c r="X28" s="23" t="e">
        <f>#NULL!</f>
        <v>#NULL!</v>
      </c>
      <c r="Y28" s="4" t="e">
        <f>REPT(" ",T_Y[[#This Row],[1Filler]]+T_Y[[#This Row],[3PmFiller]])</f>
        <v>#NULL!</v>
      </c>
      <c r="Z28" s="4" t="e">
        <f>LEN(T_Y[[#This Row],[3Pm]])</f>
        <v>#NULL!</v>
      </c>
      <c r="AA28" s="4" t="e">
        <f>T_Y[[#Totals],[3PmLen]]-T_Y[[#This Row],[3PmLen]]</f>
        <v>#NULL!</v>
      </c>
      <c r="AB28" s="6" t="e">
        <f>T_Y[[#This Row],[1]]&amp;T_Y[[#This Row],[2]]&amp;T_Y[[#This Row],[3]]&amp;"End Function"</f>
        <v>#NULL!</v>
      </c>
      <c r="AC28"/>
    </row>
    <row r="29" spans="1:29" x14ac:dyDescent="0.35">
      <c r="A29" t="str">
        <f>Src!A36</f>
        <v>OX_FxtNDef</v>
      </c>
      <c r="B29" s="36" t="str">
        <f>VLOOKUP(T_Y[[#This Row],[Key]],T_Src[],4,FALSE)</f>
        <v>Fun</v>
      </c>
      <c r="C29" s="36">
        <f>VLOOKUP(T_Y[[#This Row],[Key]],T_Src[],5,FALSE)</f>
        <v>31</v>
      </c>
      <c r="D29" s="23" t="str">
        <f>VLOOKUP(T_Y[[#This Row],[Key]],T_Src[],Fm1Col,FALSE)</f>
        <v>Lss Fxn</v>
      </c>
      <c r="E29" s="23">
        <f>VLOOKUP(T_Y[[#This Row],[Key]],T_Src[],Fm2Col,FALSE)</f>
        <v>0</v>
      </c>
      <c r="F29" s="23" t="str">
        <f>VLOOKUP(T_Y[[#This Row],[Key]],T_Src[],Fm3Col,FALSE)</f>
        <v>IInpFil</v>
      </c>
      <c r="G29" s="23">
        <f>VLOOKUP(T_Y[[#This Row],[Key]],T_Src[],Fm4Col,FALSE)</f>
        <v>0</v>
      </c>
      <c r="H29" s="23">
        <f>VLOOKUP(T_Y[[#This Row],[Key]],T_Src[],Fm5Col,FALSE)</f>
        <v>0</v>
      </c>
      <c r="I29" s="23" t="str">
        <f>IF(T_Y[[#This Row],[Fm1]]=0,"","Y_"&amp;T_Y[[#This Row],[Fm1]])&amp;", "</f>
        <v xml:space="preserve">Y_Lss Fxn, </v>
      </c>
      <c r="J29" s="23" t="str">
        <f>IF(T_Y[[#This Row],[Fm2]]=0,"","Y_"&amp;T_Y[[#This Row],[Fm2]]&amp;", ")</f>
        <v/>
      </c>
      <c r="K29" s="23" t="str">
        <f>IF(T_Y[[#This Row],[Fm3]]=0,"","Y_"&amp;T_Y[[#This Row],[Fm3]]&amp;", ")</f>
        <v xml:space="preserve">Y_IInpFil, </v>
      </c>
      <c r="L29" s="23" t="str">
        <f>IF(T_Y[[#This Row],[Fm4]]=0,"","Y_"&amp;T_Y[[#This Row],[Fm4]]&amp;", ")</f>
        <v/>
      </c>
      <c r="M29" s="23" t="str">
        <f>IF(T_Y[[#This Row],[Fm5]]=0,"","Y_"&amp;T_Y[[#This Row],[Fm5]]&amp;", ")</f>
        <v/>
      </c>
      <c r="N29" s="4" t="str">
        <f>"Private Function Y_"&amp;T_Y[1Nm]&amp;T_Y[1Sfx]&amp;"()"&amp;T_Y[1As]&amp;T_Y[1:]</f>
        <v xml:space="preserve">Private Function Y_OX_FxtNDefFun() As 31:     </v>
      </c>
      <c r="O29" s="4" t="str">
        <f>T_Y[[#This Row],[Key]]</f>
        <v>OX_FxtNDef</v>
      </c>
      <c r="P29" s="4" t="str">
        <f>IF(T_Y[FnSfx]=0,"",T_Y[FnSfx])</f>
        <v>Fun</v>
      </c>
      <c r="Q29" s="4" t="str">
        <f>IF(T_Y[RetTy]=0,""," As "&amp;T_Y[RetTy])</f>
        <v xml:space="preserve"> As 31</v>
      </c>
      <c r="R29" s="4" t="str">
        <f>":"&amp;REPT(" ",T_Y[[#This Row],[1Filler]]+1)</f>
        <v xml:space="preserve">:     </v>
      </c>
      <c r="S29" s="4">
        <f>LEN(T_Y[1Nm])</f>
        <v>10</v>
      </c>
      <c r="T29" s="4">
        <f>T_Y[[#Totals],[1Len]]-T_Y[[#This Row],[1Len]]</f>
        <v>4</v>
      </c>
      <c r="U29" s="4" t="str">
        <f>T_Y[[#This Row],[2Spc]]&amp;"Y_"&amp;T_Y[[#This Row],[Key]]&amp;" = "</f>
        <v xml:space="preserve">    Y_OX_FxtNDef = </v>
      </c>
      <c r="V29" s="4" t="str">
        <f>REPT(" ",T_Y[[#This Row],[1Filler]])</f>
        <v xml:space="preserve">    </v>
      </c>
      <c r="W29" s="4" t="e">
        <f>"B_"&amp;T_Y[[#This Row],[Key]]&amp;"("&amp;T_Y[[#This Row],[3Pm]]&amp;"):"&amp;T_Y[3Spc]</f>
        <v>#NULL!</v>
      </c>
      <c r="X29" s="23" t="e">
        <f>#NULL!</f>
        <v>#NULL!</v>
      </c>
      <c r="Y29" s="4" t="e">
        <f>REPT(" ",T_Y[[#This Row],[1Filler]]+T_Y[[#This Row],[3PmFiller]])</f>
        <v>#NULL!</v>
      </c>
      <c r="Z29" s="4" t="e">
        <f>LEN(T_Y[[#This Row],[3Pm]])</f>
        <v>#NULL!</v>
      </c>
      <c r="AA29" s="4" t="e">
        <f>T_Y[[#Totals],[3PmLen]]-T_Y[[#This Row],[3PmLen]]</f>
        <v>#NULL!</v>
      </c>
      <c r="AB29" s="6" t="e">
        <f>T_Y[[#This Row],[1]]&amp;T_Y[[#This Row],[2]]&amp;T_Y[[#This Row],[3]]&amp;"End Function"</f>
        <v>#NULL!</v>
      </c>
      <c r="AC29"/>
    </row>
    <row r="30" spans="1:29" x14ac:dyDescent="0.35">
      <c r="A30" t="str">
        <f>Src!A37</f>
        <v>OX_All</v>
      </c>
      <c r="B30" s="36" t="str">
        <f>VLOOKUP(T_Y[[#This Row],[Key]],T_Src[],4,FALSE)</f>
        <v>Fun</v>
      </c>
      <c r="C30" s="36">
        <f>VLOOKUP(T_Y[[#This Row],[Key]],T_Src[],5,FALSE)</f>
        <v>32</v>
      </c>
      <c r="D30" s="23" t="str">
        <f>VLOOKUP(T_Y[[#This Row],[Key]],T_Src[],Fm1Col,FALSE)</f>
        <v>ErTy Ern L Msg</v>
      </c>
      <c r="E30" s="23" t="str">
        <f>VLOOKUP(T_Y[[#This Row],[Key]],T_Src[],Fm2Col,FALSE)</f>
        <v>JStru</v>
      </c>
      <c r="F30" s="23" t="str">
        <f>VLOOKUP(T_Y[[#This Row],[Key]],T_Src[],Fm3Col,FALSE)</f>
        <v>IInpFil</v>
      </c>
      <c r="G30" s="23">
        <f>VLOOKUP(T_Y[[#This Row],[Key]],T_Src[],Fm4Col,FALSE)</f>
        <v>0</v>
      </c>
      <c r="H30" s="23">
        <f>VLOOKUP(T_Y[[#This Row],[Key]],T_Src[],Fm5Col,FALSE)</f>
        <v>0</v>
      </c>
      <c r="I30" s="23" t="str">
        <f>IF(T_Y[[#This Row],[Fm1]]=0,"","Y_"&amp;T_Y[[#This Row],[Fm1]])&amp;", "</f>
        <v xml:space="preserve">Y_ErTy Ern L Msg, </v>
      </c>
      <c r="J30" s="23" t="str">
        <f>IF(T_Y[[#This Row],[Fm2]]=0,"","Y_"&amp;T_Y[[#This Row],[Fm2]]&amp;", ")</f>
        <v xml:space="preserve">Y_JStru, </v>
      </c>
      <c r="K30" s="23" t="str">
        <f>IF(T_Y[[#This Row],[Fm3]]=0,"","Y_"&amp;T_Y[[#This Row],[Fm3]]&amp;", ")</f>
        <v xml:space="preserve">Y_IInpFil, </v>
      </c>
      <c r="L30" s="23" t="str">
        <f>IF(T_Y[[#This Row],[Fm4]]=0,"","Y_"&amp;T_Y[[#This Row],[Fm4]]&amp;", ")</f>
        <v/>
      </c>
      <c r="M30" s="23" t="str">
        <f>IF(T_Y[[#This Row],[Fm5]]=0,"","Y_"&amp;T_Y[[#This Row],[Fm5]]&amp;", ")</f>
        <v/>
      </c>
      <c r="N30" s="4" t="str">
        <f>"Private Function Y_"&amp;T_Y[1Nm]&amp;T_Y[1Sfx]&amp;"()"&amp;T_Y[1As]&amp;T_Y[1:]</f>
        <v xml:space="preserve">Private Function Y_OX_AllFun() As 32:         </v>
      </c>
      <c r="O30" s="4" t="str">
        <f>T_Y[[#This Row],[Key]]</f>
        <v>OX_All</v>
      </c>
      <c r="P30" s="4" t="str">
        <f>IF(T_Y[FnSfx]=0,"",T_Y[FnSfx])</f>
        <v>Fun</v>
      </c>
      <c r="Q30" s="4" t="str">
        <f>IF(T_Y[RetTy]=0,""," As "&amp;T_Y[RetTy])</f>
        <v xml:space="preserve"> As 32</v>
      </c>
      <c r="R30" s="4" t="str">
        <f>":"&amp;REPT(" ",T_Y[[#This Row],[1Filler]]+1)</f>
        <v xml:space="preserve">:         </v>
      </c>
      <c r="S30" s="4">
        <f>LEN(T_Y[1Nm])</f>
        <v>6</v>
      </c>
      <c r="T30" s="4">
        <f>T_Y[[#Totals],[1Len]]-T_Y[[#This Row],[1Len]]</f>
        <v>8</v>
      </c>
      <c r="U30" s="4" t="str">
        <f>T_Y[[#This Row],[2Spc]]&amp;"Y_"&amp;T_Y[[#This Row],[Key]]&amp;" = "</f>
        <v xml:space="preserve">        Y_OX_All = </v>
      </c>
      <c r="V30" s="4" t="str">
        <f>REPT(" ",T_Y[[#This Row],[1Filler]])</f>
        <v xml:space="preserve">        </v>
      </c>
      <c r="W30" s="4" t="e">
        <f>"B_"&amp;T_Y[[#This Row],[Key]]&amp;"("&amp;T_Y[[#This Row],[3Pm]]&amp;"):"&amp;T_Y[3Spc]</f>
        <v>#NULL!</v>
      </c>
      <c r="X30" s="23" t="e">
        <f>#NULL!</f>
        <v>#NULL!</v>
      </c>
      <c r="Y30" s="4" t="e">
        <f>REPT(" ",T_Y[[#This Row],[1Filler]]+T_Y[[#This Row],[3PmFiller]])</f>
        <v>#NULL!</v>
      </c>
      <c r="Z30" s="4" t="e">
        <f>LEN(T_Y[[#This Row],[3Pm]])</f>
        <v>#NULL!</v>
      </c>
      <c r="AA30" s="4" t="e">
        <f>T_Y[[#Totals],[3PmLen]]-T_Y[[#This Row],[3PmLen]]</f>
        <v>#NULL!</v>
      </c>
      <c r="AB30" s="6" t="e">
        <f>T_Y[[#This Row],[1]]&amp;T_Y[[#This Row],[2]]&amp;T_Y[[#This Row],[3]]&amp;"End Function"</f>
        <v>#NULL!</v>
      </c>
      <c r="AC30"/>
    </row>
    <row r="31" spans="1:29" x14ac:dyDescent="0.35">
      <c r="A31" t="str">
        <f>Src!A39</f>
        <v>OB_FbnNDef</v>
      </c>
      <c r="B31" s="36" t="str">
        <f>VLOOKUP(T_Y[[#This Row],[Key]],T_Src[],4,FALSE)</f>
        <v>Fun</v>
      </c>
      <c r="C31" s="36">
        <f>VLOOKUP(T_Y[[#This Row],[Key]],T_Src[],5,FALSE)</f>
        <v>34</v>
      </c>
      <c r="D31" s="23" t="str">
        <f>VLOOKUP(T_Y[[#This Row],[Key]],T_Src[],Fm1Col,FALSE)</f>
        <v>L Fbn</v>
      </c>
      <c r="E31" s="23">
        <f>VLOOKUP(T_Y[[#This Row],[Key]],T_Src[],Fm2Col,FALSE)</f>
        <v>0</v>
      </c>
      <c r="F31" s="23" t="str">
        <f>VLOOKUP(T_Y[[#This Row],[Key]],T_Src[],Fm3Col,FALSE)</f>
        <v>IInpFil</v>
      </c>
      <c r="G31" s="23">
        <f>VLOOKUP(T_Y[[#This Row],[Key]],T_Src[],Fm4Col,FALSE)</f>
        <v>0</v>
      </c>
      <c r="H31" s="23">
        <f>VLOOKUP(T_Y[[#This Row],[Key]],T_Src[],Fm5Col,FALSE)</f>
        <v>0</v>
      </c>
      <c r="I31" s="23" t="str">
        <f>IF(T_Y[[#This Row],[Fm1]]=0,"","Y_"&amp;T_Y[[#This Row],[Fm1]])&amp;", "</f>
        <v xml:space="preserve">Y_L Fbn, </v>
      </c>
      <c r="J31" s="23" t="str">
        <f>IF(T_Y[[#This Row],[Fm2]]=0,"","Y_"&amp;T_Y[[#This Row],[Fm2]]&amp;", ")</f>
        <v/>
      </c>
      <c r="K31" s="23" t="str">
        <f>IF(T_Y[[#This Row],[Fm3]]=0,"","Y_"&amp;T_Y[[#This Row],[Fm3]]&amp;", ")</f>
        <v xml:space="preserve">Y_IInpFil, </v>
      </c>
      <c r="L31" s="23" t="str">
        <f>IF(T_Y[[#This Row],[Fm4]]=0,"","Y_"&amp;T_Y[[#This Row],[Fm4]]&amp;", ")</f>
        <v/>
      </c>
      <c r="M31" s="23" t="str">
        <f>IF(T_Y[[#This Row],[Fm5]]=0,"","Y_"&amp;T_Y[[#This Row],[Fm5]]&amp;", ")</f>
        <v/>
      </c>
      <c r="N31" s="4" t="str">
        <f>"Private Function Y_"&amp;T_Y[1Nm]&amp;T_Y[1Sfx]&amp;"()"&amp;T_Y[1As]&amp;T_Y[1:]</f>
        <v xml:space="preserve">Private Function Y_OB_FbnNDefFun() As 34:     </v>
      </c>
      <c r="O31" s="4" t="str">
        <f>T_Y[[#This Row],[Key]]</f>
        <v>OB_FbnNDef</v>
      </c>
      <c r="P31" s="4" t="str">
        <f>IF(T_Y[FnSfx]=0,"",T_Y[FnSfx])</f>
        <v>Fun</v>
      </c>
      <c r="Q31" s="4" t="str">
        <f>IF(T_Y[RetTy]=0,""," As "&amp;T_Y[RetTy])</f>
        <v xml:space="preserve"> As 34</v>
      </c>
      <c r="R31" s="4" t="str">
        <f>":"&amp;REPT(" ",T_Y[[#This Row],[1Filler]]+1)</f>
        <v xml:space="preserve">:     </v>
      </c>
      <c r="S31" s="4">
        <f>LEN(T_Y[1Nm])</f>
        <v>10</v>
      </c>
      <c r="T31" s="4">
        <f>T_Y[[#Totals],[1Len]]-T_Y[[#This Row],[1Len]]</f>
        <v>4</v>
      </c>
      <c r="U31" s="4" t="str">
        <f>T_Y[[#This Row],[2Spc]]&amp;"Y_"&amp;T_Y[[#This Row],[Key]]&amp;" = "</f>
        <v xml:space="preserve">    Y_OB_FbnNDef = </v>
      </c>
      <c r="V31" s="4" t="str">
        <f>REPT(" ",T_Y[[#This Row],[1Filler]])</f>
        <v xml:space="preserve">    </v>
      </c>
      <c r="W31" s="4" t="e">
        <f>"B_"&amp;T_Y[[#This Row],[Key]]&amp;"("&amp;T_Y[[#This Row],[3Pm]]&amp;"):"&amp;T_Y[3Spc]</f>
        <v>#NULL!</v>
      </c>
      <c r="X31" s="23" t="e">
        <f>#NULL!</f>
        <v>#NULL!</v>
      </c>
      <c r="Y31" s="4" t="e">
        <f>REPT(" ",T_Y[[#This Row],[1Filler]]+T_Y[[#This Row],[3PmFiller]])</f>
        <v>#NULL!</v>
      </c>
      <c r="Z31" s="4" t="e">
        <f>LEN(T_Y[[#This Row],[3Pm]])</f>
        <v>#NULL!</v>
      </c>
      <c r="AA31" s="4" t="e">
        <f>T_Y[[#Totals],[3PmLen]]-T_Y[[#This Row],[3PmLen]]</f>
        <v>#NULL!</v>
      </c>
      <c r="AB31" s="6" t="e">
        <f>T_Y[[#This Row],[1]]&amp;T_Y[[#This Row],[2]]&amp;T_Y[[#This Row],[3]]&amp;"End Function"</f>
        <v>#NULL!</v>
      </c>
      <c r="AC31"/>
    </row>
    <row r="32" spans="1:29" x14ac:dyDescent="0.35">
      <c r="A32" t="str">
        <f>Src!A40</f>
        <v>OB_FbtMis</v>
      </c>
      <c r="B32" s="36" t="str">
        <f>VLOOKUP(T_Y[[#This Row],[Key]],T_Src[],4,FALSE)</f>
        <v>Fun</v>
      </c>
      <c r="C32" s="36">
        <f>VLOOKUP(T_Y[[#This Row],[Key]],T_Src[],5,FALSE)</f>
        <v>35</v>
      </c>
      <c r="D32" s="23" t="str">
        <f>VLOOKUP(T_Y[[#This Row],[Key]],T_Src[],Fm1Col,FALSE)</f>
        <v>L Fbn Tss</v>
      </c>
      <c r="E32" s="23">
        <f>VLOOKUP(T_Y[[#This Row],[Key]],T_Src[],Fm2Col,FALSE)</f>
        <v>0</v>
      </c>
      <c r="F32" s="23" t="str">
        <f>VLOOKUP(T_Y[[#This Row],[Key]],T_Src[],Fm3Col,FALSE)</f>
        <v>IInpFil</v>
      </c>
      <c r="G32" s="23">
        <f>VLOOKUP(T_Y[[#This Row],[Key]],T_Src[],Fm4Col,FALSE)</f>
        <v>0</v>
      </c>
      <c r="H32" s="23">
        <f>VLOOKUP(T_Y[[#This Row],[Key]],T_Src[],Fm5Col,FALSE)</f>
        <v>0</v>
      </c>
      <c r="I32" s="23" t="str">
        <f>IF(T_Y[[#This Row],[Fm1]]=0,"","Y_"&amp;T_Y[[#This Row],[Fm1]])&amp;", "</f>
        <v xml:space="preserve">Y_L Fbn Tss, </v>
      </c>
      <c r="J32" s="23" t="str">
        <f>IF(T_Y[[#This Row],[Fm2]]=0,"","Y_"&amp;T_Y[[#This Row],[Fm2]]&amp;", ")</f>
        <v/>
      </c>
      <c r="K32" s="23" t="str">
        <f>IF(T_Y[[#This Row],[Fm3]]=0,"","Y_"&amp;T_Y[[#This Row],[Fm3]]&amp;", ")</f>
        <v xml:space="preserve">Y_IInpFil, </v>
      </c>
      <c r="L32" s="23" t="str">
        <f>IF(T_Y[[#This Row],[Fm4]]=0,"","Y_"&amp;T_Y[[#This Row],[Fm4]]&amp;", ")</f>
        <v/>
      </c>
      <c r="M32" s="23" t="str">
        <f>IF(T_Y[[#This Row],[Fm5]]=0,"","Y_"&amp;T_Y[[#This Row],[Fm5]]&amp;", ")</f>
        <v/>
      </c>
      <c r="N32" s="4" t="str">
        <f>"Private Function Y_"&amp;T_Y[1Nm]&amp;T_Y[1Sfx]&amp;"()"&amp;T_Y[1As]&amp;T_Y[1:]</f>
        <v xml:space="preserve">Private Function Y_OB_FbtMisFun() As 35:      </v>
      </c>
      <c r="O32" s="4" t="str">
        <f>T_Y[[#This Row],[Key]]</f>
        <v>OB_FbtMis</v>
      </c>
      <c r="P32" s="4" t="str">
        <f>IF(T_Y[FnSfx]=0,"",T_Y[FnSfx])</f>
        <v>Fun</v>
      </c>
      <c r="Q32" s="4" t="str">
        <f>IF(T_Y[RetTy]=0,""," As "&amp;T_Y[RetTy])</f>
        <v xml:space="preserve"> As 35</v>
      </c>
      <c r="R32" s="4" t="str">
        <f>":"&amp;REPT(" ",T_Y[[#This Row],[1Filler]]+1)</f>
        <v xml:space="preserve">:      </v>
      </c>
      <c r="S32" s="4">
        <f>LEN(T_Y[1Nm])</f>
        <v>9</v>
      </c>
      <c r="T32" s="4">
        <f>T_Y[[#Totals],[1Len]]-T_Y[[#This Row],[1Len]]</f>
        <v>5</v>
      </c>
      <c r="U32" s="4" t="str">
        <f>T_Y[[#This Row],[2Spc]]&amp;"Y_"&amp;T_Y[[#This Row],[Key]]&amp;" = "</f>
        <v xml:space="preserve">     Y_OB_FbtMis = </v>
      </c>
      <c r="V32" s="4" t="str">
        <f>REPT(" ",T_Y[[#This Row],[1Filler]])</f>
        <v xml:space="preserve">     </v>
      </c>
      <c r="W32" s="4" t="e">
        <f>"B_"&amp;T_Y[[#This Row],[Key]]&amp;"("&amp;T_Y[[#This Row],[3Pm]]&amp;"):"&amp;T_Y[3Spc]</f>
        <v>#NULL!</v>
      </c>
      <c r="X32" s="23" t="e">
        <f>#NULL!</f>
        <v>#NULL!</v>
      </c>
      <c r="Y32" s="4" t="e">
        <f>REPT(" ",T_Y[[#This Row],[1Filler]]+T_Y[[#This Row],[3PmFiller]])</f>
        <v>#NULL!</v>
      </c>
      <c r="Z32" s="4" t="e">
        <f>LEN(T_Y[[#This Row],[3Pm]])</f>
        <v>#NULL!</v>
      </c>
      <c r="AA32" s="4" t="e">
        <f>T_Y[[#Totals],[3PmLen]]-T_Y[[#This Row],[3PmLen]]</f>
        <v>#NULL!</v>
      </c>
      <c r="AB32" s="6" t="e">
        <f>T_Y[[#This Row],[1]]&amp;T_Y[[#This Row],[2]]&amp;T_Y[[#This Row],[3]]&amp;"End Function"</f>
        <v>#NULL!</v>
      </c>
      <c r="AC32"/>
    </row>
    <row r="33" spans="1:29" x14ac:dyDescent="0.35">
      <c r="A33" t="str">
        <f>Src!A42</f>
        <v>OW_TblDup</v>
      </c>
      <c r="B33" s="36" t="str">
        <f>VLOOKUP(T_Y[[#This Row],[Key]],T_Src[],4,FALSE)</f>
        <v>Fun</v>
      </c>
      <c r="C33" s="36">
        <f>VLOOKUP(T_Y[[#This Row],[Key]],T_Src[],5,FALSE)</f>
        <v>37</v>
      </c>
      <c r="D33" s="23" t="str">
        <f>VLOOKUP(T_Y[[#This Row],[Key]],T_Src[],Fm1Col,FALSE)</f>
        <v>Lss T</v>
      </c>
      <c r="E33" s="23" t="str">
        <f>VLOOKUP(T_Y[[#This Row],[Key]],T_Src[],Fm2Col,FALSE)</f>
        <v>TTbl</v>
      </c>
      <c r="F33" s="23" t="str">
        <f>VLOOKUP(T_Y[[#This Row],[Key]],T_Src[],Fm3Col,FALSE)</f>
        <v>IInpFil</v>
      </c>
      <c r="G33" s="23">
        <f>VLOOKUP(T_Y[[#This Row],[Key]],T_Src[],Fm4Col,FALSE)</f>
        <v>0</v>
      </c>
      <c r="H33" s="23">
        <f>VLOOKUP(T_Y[[#This Row],[Key]],T_Src[],Fm5Col,FALSE)</f>
        <v>0</v>
      </c>
      <c r="I33" s="23" t="str">
        <f>IF(T_Y[[#This Row],[Fm1]]=0,"","Y_"&amp;T_Y[[#This Row],[Fm1]])&amp;", "</f>
        <v xml:space="preserve">Y_Lss T, </v>
      </c>
      <c r="J33" s="23" t="str">
        <f>IF(T_Y[[#This Row],[Fm2]]=0,"","Y_"&amp;T_Y[[#This Row],[Fm2]]&amp;", ")</f>
        <v xml:space="preserve">Y_TTbl, </v>
      </c>
      <c r="K33" s="23" t="str">
        <f>IF(T_Y[[#This Row],[Fm3]]=0,"","Y_"&amp;T_Y[[#This Row],[Fm3]]&amp;", ")</f>
        <v xml:space="preserve">Y_IInpFil, </v>
      </c>
      <c r="L33" s="23" t="str">
        <f>IF(T_Y[[#This Row],[Fm4]]=0,"","Y_"&amp;T_Y[[#This Row],[Fm4]]&amp;", ")</f>
        <v/>
      </c>
      <c r="M33" s="23" t="str">
        <f>IF(T_Y[[#This Row],[Fm5]]=0,"","Y_"&amp;T_Y[[#This Row],[Fm5]]&amp;", ")</f>
        <v/>
      </c>
      <c r="N33" s="4" t="str">
        <f>"Private Function Y_"&amp;T_Y[1Nm]&amp;T_Y[1Sfx]&amp;"()"&amp;T_Y[1As]&amp;T_Y[1:]</f>
        <v xml:space="preserve">Private Function Y_OW_TblDupFun() As 37:      </v>
      </c>
      <c r="O33" s="4" t="str">
        <f>T_Y[[#This Row],[Key]]</f>
        <v>OW_TblDup</v>
      </c>
      <c r="P33" s="4" t="str">
        <f>IF(T_Y[FnSfx]=0,"",T_Y[FnSfx])</f>
        <v>Fun</v>
      </c>
      <c r="Q33" s="4" t="str">
        <f>IF(T_Y[RetTy]=0,""," As "&amp;T_Y[RetTy])</f>
        <v xml:space="preserve"> As 37</v>
      </c>
      <c r="R33" s="4" t="str">
        <f>":"&amp;REPT(" ",T_Y[[#This Row],[1Filler]]+1)</f>
        <v xml:space="preserve">:      </v>
      </c>
      <c r="S33" s="4">
        <f>LEN(T_Y[1Nm])</f>
        <v>9</v>
      </c>
      <c r="T33" s="4">
        <f>T_Y[[#Totals],[1Len]]-T_Y[[#This Row],[1Len]]</f>
        <v>5</v>
      </c>
      <c r="U33" s="4" t="str">
        <f>T_Y[[#This Row],[2Spc]]&amp;"Y_"&amp;T_Y[[#This Row],[Key]]&amp;" = "</f>
        <v xml:space="preserve">     Y_OW_TblDup = </v>
      </c>
      <c r="V33" s="4" t="str">
        <f>REPT(" ",T_Y[[#This Row],[1Filler]])</f>
        <v xml:space="preserve">     </v>
      </c>
      <c r="W33" s="4" t="e">
        <f>"B_"&amp;T_Y[[#This Row],[Key]]&amp;"("&amp;T_Y[[#This Row],[3Pm]]&amp;"):"&amp;T_Y[3Spc]</f>
        <v>#NULL!</v>
      </c>
      <c r="X33" s="23" t="e">
        <f>#NULL!</f>
        <v>#NULL!</v>
      </c>
      <c r="Y33" s="4" t="e">
        <f>REPT(" ",T_Y[[#This Row],[1Filler]]+T_Y[[#This Row],[3PmFiller]])</f>
        <v>#NULL!</v>
      </c>
      <c r="Z33" s="4" t="e">
        <f>LEN(T_Y[[#This Row],[3Pm]])</f>
        <v>#NULL!</v>
      </c>
      <c r="AA33" s="4" t="e">
        <f>T_Y[[#Totals],[3PmLen]]-T_Y[[#This Row],[3PmLen]]</f>
        <v>#NULL!</v>
      </c>
      <c r="AB33" s="6" t="e">
        <f>T_Y[[#This Row],[1]]&amp;T_Y[[#This Row],[2]]&amp;T_Y[[#This Row],[3]]&amp;"End Function"</f>
        <v>#NULL!</v>
      </c>
      <c r="AC33"/>
    </row>
    <row r="34" spans="1:29" x14ac:dyDescent="0.35">
      <c r="A34" t="str">
        <f>Src!A43</f>
        <v>OW_TblNDef</v>
      </c>
      <c r="B34" s="36" t="str">
        <f>VLOOKUP(T_Y[[#This Row],[Key]],T_Src[],4,FALSE)</f>
        <v>Fun</v>
      </c>
      <c r="C34" s="36">
        <f>VLOOKUP(T_Y[[#This Row],[Key]],T_Src[],5,FALSE)</f>
        <v>38</v>
      </c>
      <c r="D34" s="23" t="str">
        <f>VLOOKUP(T_Y[[#This Row],[Key]],T_Src[],Fm1Col,FALSE)</f>
        <v>L T</v>
      </c>
      <c r="E34" s="23" t="str">
        <f>VLOOKUP(T_Y[[#This Row],[Key]],T_Src[],Fm2Col,FALSE)</f>
        <v>TTbl</v>
      </c>
      <c r="F34" s="23" t="str">
        <f>VLOOKUP(T_Y[[#This Row],[Key]],T_Src[],Fm3Col,FALSE)</f>
        <v>IInpFil</v>
      </c>
      <c r="G34" s="23">
        <f>VLOOKUP(T_Y[[#This Row],[Key]],T_Src[],Fm4Col,FALSE)</f>
        <v>0</v>
      </c>
      <c r="H34" s="23">
        <f>VLOOKUP(T_Y[[#This Row],[Key]],T_Src[],Fm5Col,FALSE)</f>
        <v>0</v>
      </c>
      <c r="I34" s="23" t="str">
        <f>IF(T_Y[[#This Row],[Fm1]]=0,"","Y_"&amp;T_Y[[#This Row],[Fm1]])&amp;", "</f>
        <v xml:space="preserve">Y_L T, </v>
      </c>
      <c r="J34" s="23" t="str">
        <f>IF(T_Y[[#This Row],[Fm2]]=0,"","Y_"&amp;T_Y[[#This Row],[Fm2]]&amp;", ")</f>
        <v xml:space="preserve">Y_TTbl, </v>
      </c>
      <c r="K34" s="23" t="str">
        <f>IF(T_Y[[#This Row],[Fm3]]=0,"","Y_"&amp;T_Y[[#This Row],[Fm3]]&amp;", ")</f>
        <v xml:space="preserve">Y_IInpFil, </v>
      </c>
      <c r="L34" s="23" t="str">
        <f>IF(T_Y[[#This Row],[Fm4]]=0,"","Y_"&amp;T_Y[[#This Row],[Fm4]]&amp;", ")</f>
        <v/>
      </c>
      <c r="M34" s="23" t="str">
        <f>IF(T_Y[[#This Row],[Fm5]]=0,"","Y_"&amp;T_Y[[#This Row],[Fm5]]&amp;", ")</f>
        <v/>
      </c>
      <c r="N34" s="4" t="str">
        <f>"Private Function Y_"&amp;T_Y[1Nm]&amp;T_Y[1Sfx]&amp;"()"&amp;T_Y[1As]&amp;T_Y[1:]</f>
        <v xml:space="preserve">Private Function Y_OW_TblNDefFun() As 38:     </v>
      </c>
      <c r="O34" s="4" t="str">
        <f>T_Y[[#This Row],[Key]]</f>
        <v>OW_TblNDef</v>
      </c>
      <c r="P34" s="4" t="str">
        <f>IF(T_Y[FnSfx]=0,"",T_Y[FnSfx])</f>
        <v>Fun</v>
      </c>
      <c r="Q34" s="4" t="str">
        <f>IF(T_Y[RetTy]=0,""," As "&amp;T_Y[RetTy])</f>
        <v xml:space="preserve"> As 38</v>
      </c>
      <c r="R34" s="4" t="str">
        <f>":"&amp;REPT(" ",T_Y[[#This Row],[1Filler]]+1)</f>
        <v xml:space="preserve">:     </v>
      </c>
      <c r="S34" s="4">
        <f>LEN(T_Y[1Nm])</f>
        <v>10</v>
      </c>
      <c r="T34" s="4">
        <f>T_Y[[#Totals],[1Len]]-T_Y[[#This Row],[1Len]]</f>
        <v>4</v>
      </c>
      <c r="U34" s="4" t="str">
        <f>T_Y[[#This Row],[2Spc]]&amp;"Y_"&amp;T_Y[[#This Row],[Key]]&amp;" = "</f>
        <v xml:space="preserve">    Y_OW_TblNDef = </v>
      </c>
      <c r="V34" s="4" t="str">
        <f>REPT(" ",T_Y[[#This Row],[1Filler]])</f>
        <v xml:space="preserve">    </v>
      </c>
      <c r="W34" s="4" t="e">
        <f>"B_"&amp;T_Y[[#This Row],[Key]]&amp;"("&amp;T_Y[[#This Row],[3Pm]]&amp;"):"&amp;T_Y[3Spc]</f>
        <v>#NULL!</v>
      </c>
      <c r="X34" s="23" t="e">
        <f>#NULL!</f>
        <v>#NULL!</v>
      </c>
      <c r="Y34" s="4" t="e">
        <f>REPT(" ",T_Y[[#This Row],[1Filler]]+T_Y[[#This Row],[3PmFiller]])</f>
        <v>#NULL!</v>
      </c>
      <c r="Z34" s="4" t="e">
        <f>LEN(T_Y[[#This Row],[3Pm]])</f>
        <v>#NULL!</v>
      </c>
      <c r="AA34" s="4" t="e">
        <f>T_Y[[#Totals],[3PmLen]]-T_Y[[#This Row],[3PmLen]]</f>
        <v>#NULL!</v>
      </c>
      <c r="AB34" s="6" t="e">
        <f>T_Y[[#This Row],[1]]&amp;T_Y[[#This Row],[2]]&amp;T_Y[[#This Row],[3]]&amp;"End Function"</f>
        <v>#NULL!</v>
      </c>
      <c r="AC34"/>
    </row>
    <row r="35" spans="1:29" x14ac:dyDescent="0.35">
      <c r="A35" t="str">
        <f>Src!A44</f>
        <v>OW_TblExcess</v>
      </c>
      <c r="B35" s="36" t="str">
        <f>VLOOKUP(T_Y[[#This Row],[Key]],T_Src[],4,FALSE)</f>
        <v>Fun</v>
      </c>
      <c r="C35" s="36">
        <f>VLOOKUP(T_Y[[#This Row],[Key]],T_Src[],5,FALSE)</f>
        <v>39</v>
      </c>
      <c r="D35" s="23" t="str">
        <f>VLOOKUP(T_Y[[#This Row],[Key]],T_Src[],Fm1Col,FALSE)</f>
        <v>L T</v>
      </c>
      <c r="E35" s="23" t="str">
        <f>VLOOKUP(T_Y[[#This Row],[Key]],T_Src[],Fm2Col,FALSE)</f>
        <v>TTbl</v>
      </c>
      <c r="F35" s="23" t="str">
        <f>VLOOKUP(T_Y[[#This Row],[Key]],T_Src[],Fm3Col,FALSE)</f>
        <v>IInpFil</v>
      </c>
      <c r="G35" s="23">
        <f>VLOOKUP(T_Y[[#This Row],[Key]],T_Src[],Fm4Col,FALSE)</f>
        <v>0</v>
      </c>
      <c r="H35" s="23">
        <f>VLOOKUP(T_Y[[#This Row],[Key]],T_Src[],Fm5Col,FALSE)</f>
        <v>0</v>
      </c>
      <c r="I35" s="23" t="str">
        <f>IF(T_Y[[#This Row],[Fm1]]=0,"","Y_"&amp;T_Y[[#This Row],[Fm1]])&amp;", "</f>
        <v xml:space="preserve">Y_L T, </v>
      </c>
      <c r="J35" s="23" t="str">
        <f>IF(T_Y[[#This Row],[Fm2]]=0,"","Y_"&amp;T_Y[[#This Row],[Fm2]]&amp;", ")</f>
        <v xml:space="preserve">Y_TTbl, </v>
      </c>
      <c r="K35" s="23" t="str">
        <f>IF(T_Y[[#This Row],[Fm3]]=0,"","Y_"&amp;T_Y[[#This Row],[Fm3]]&amp;", ")</f>
        <v xml:space="preserve">Y_IInpFil, </v>
      </c>
      <c r="L35" s="23" t="str">
        <f>IF(T_Y[[#This Row],[Fm4]]=0,"","Y_"&amp;T_Y[[#This Row],[Fm4]]&amp;", ")</f>
        <v/>
      </c>
      <c r="M35" s="23" t="str">
        <f>IF(T_Y[[#This Row],[Fm5]]=0,"","Y_"&amp;T_Y[[#This Row],[Fm5]]&amp;", ")</f>
        <v/>
      </c>
      <c r="N35" s="4" t="str">
        <f>"Private Function Y_"&amp;T_Y[1Nm]&amp;T_Y[1Sfx]&amp;"()"&amp;T_Y[1As]&amp;T_Y[1:]</f>
        <v xml:space="preserve">Private Function Y_OW_TblExcessFun() As 39:   </v>
      </c>
      <c r="O35" s="4" t="str">
        <f>T_Y[[#This Row],[Key]]</f>
        <v>OW_TblExcess</v>
      </c>
      <c r="P35" s="4" t="str">
        <f>IF(T_Y[FnSfx]=0,"",T_Y[FnSfx])</f>
        <v>Fun</v>
      </c>
      <c r="Q35" s="4" t="str">
        <f>IF(T_Y[RetTy]=0,""," As "&amp;T_Y[RetTy])</f>
        <v xml:space="preserve"> As 39</v>
      </c>
      <c r="R35" s="4" t="str">
        <f>":"&amp;REPT(" ",T_Y[[#This Row],[1Filler]]+1)</f>
        <v xml:space="preserve">:   </v>
      </c>
      <c r="S35" s="4">
        <f>LEN(T_Y[1Nm])</f>
        <v>12</v>
      </c>
      <c r="T35" s="4">
        <f>T_Y[[#Totals],[1Len]]-T_Y[[#This Row],[1Len]]</f>
        <v>2</v>
      </c>
      <c r="U35" s="4" t="str">
        <f>T_Y[[#This Row],[2Spc]]&amp;"Y_"&amp;T_Y[[#This Row],[Key]]&amp;" = "</f>
        <v xml:space="preserve">  Y_OW_TblExcess = </v>
      </c>
      <c r="V35" s="4" t="str">
        <f>REPT(" ",T_Y[[#This Row],[1Filler]])</f>
        <v xml:space="preserve">  </v>
      </c>
      <c r="W35" s="4" t="e">
        <f>"B_"&amp;T_Y[[#This Row],[Key]]&amp;"("&amp;T_Y[[#This Row],[3Pm]]&amp;"):"&amp;T_Y[3Spc]</f>
        <v>#NULL!</v>
      </c>
      <c r="X35" s="23" t="e">
        <f>#NULL!</f>
        <v>#NULL!</v>
      </c>
      <c r="Y35" s="4" t="e">
        <f>REPT(" ",T_Y[[#This Row],[1Filler]]+T_Y[[#This Row],[3PmFiller]])</f>
        <v>#NULL!</v>
      </c>
      <c r="Z35" s="4" t="e">
        <f>LEN(T_Y[[#This Row],[3Pm]])</f>
        <v>#NULL!</v>
      </c>
      <c r="AA35" s="4" t="e">
        <f>T_Y[[#Totals],[3PmLen]]-T_Y[[#This Row],[3PmLen]]</f>
        <v>#NULL!</v>
      </c>
      <c r="AB35" s="6" t="e">
        <f>T_Y[[#This Row],[1]]&amp;T_Y[[#This Row],[2]]&amp;T_Y[[#This Row],[3]]&amp;"End Function"</f>
        <v>#NULL!</v>
      </c>
      <c r="AC35"/>
    </row>
    <row r="36" spans="1:29" x14ac:dyDescent="0.35">
      <c r="A36" t="s">
        <v>0</v>
      </c>
      <c r="S36">
        <f>SUBTOTAL(104,T_Y[1Len])</f>
        <v>14</v>
      </c>
      <c r="Z36" t="e">
        <f>SUBTOTAL(104,T_Y[3PmLen])</f>
        <v>#NULL!</v>
      </c>
      <c r="AB36" s="3"/>
      <c r="AC36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FBC05-2B5C-46EB-A043-0FD62927F0DC}">
  <sheetPr codeName="WsMthLinSeq"/>
  <dimension ref="A1:B6"/>
  <sheetViews>
    <sheetView workbookViewId="0">
      <selection activeCell="A5" sqref="A5"/>
    </sheetView>
  </sheetViews>
  <sheetFormatPr defaultRowHeight="14.5" x14ac:dyDescent="0.35"/>
  <cols>
    <col min="1" max="1" width="10.6328125" customWidth="1"/>
    <col min="2" max="2" width="11.7265625" customWidth="1"/>
  </cols>
  <sheetData>
    <row r="1" spans="1:2" x14ac:dyDescent="0.35">
      <c r="A1" t="s">
        <v>133</v>
      </c>
      <c r="B1" t="s">
        <v>132</v>
      </c>
    </row>
    <row r="2" spans="1:2" x14ac:dyDescent="0.35">
      <c r="A2" t="s">
        <v>83</v>
      </c>
      <c r="B2">
        <v>3</v>
      </c>
    </row>
    <row r="3" spans="1:2" x14ac:dyDescent="0.35">
      <c r="A3" t="s">
        <v>129</v>
      </c>
      <c r="B3">
        <v>1</v>
      </c>
    </row>
    <row r="4" spans="1:2" x14ac:dyDescent="0.35">
      <c r="A4" t="s">
        <v>131</v>
      </c>
      <c r="B4">
        <v>2</v>
      </c>
    </row>
    <row r="5" spans="1:2" x14ac:dyDescent="0.35">
      <c r="A5" t="s">
        <v>128</v>
      </c>
      <c r="B5">
        <v>4</v>
      </c>
    </row>
    <row r="6" spans="1:2" x14ac:dyDescent="0.35">
      <c r="A6" t="s">
        <v>130</v>
      </c>
      <c r="B6">
        <v>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6D17A-E0C7-4788-8C01-16C2A20C9E1A}">
  <sheetPr codeName="WsGenPgm"/>
  <dimension ref="A1:A3"/>
  <sheetViews>
    <sheetView workbookViewId="0">
      <selection activeCell="M1" sqref="M1"/>
    </sheetView>
  </sheetViews>
  <sheetFormatPr defaultRowHeight="14.5" x14ac:dyDescent="0.35"/>
  <sheetData>
    <row r="1" spans="1:1" ht="32" customHeight="1" x14ac:dyDescent="0.35"/>
    <row r="2" spans="1:1" x14ac:dyDescent="0.35">
      <c r="A2" s="37" t="s">
        <v>271</v>
      </c>
    </row>
    <row r="3" spans="1:1" x14ac:dyDescent="0.35">
      <c r="A3" s="37" t="s">
        <v>272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146050</xdr:colOff>
                    <xdr:row>0</xdr:row>
                    <xdr:rowOff>95250</xdr:rowOff>
                  </from>
                  <to>
                    <xdr:col>2</xdr:col>
                    <xdr:colOff>476250</xdr:colOff>
                    <xdr:row>0</xdr:row>
                    <xdr:rowOff>330200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53</vt:i4>
      </vt:variant>
    </vt:vector>
  </HeadingPairs>
  <TitlesOfParts>
    <vt:vector size="62" baseType="lpstr">
      <vt:lpstr>SrcCd</vt:lpstr>
      <vt:lpstr>Src</vt:lpstr>
      <vt:lpstr>Key</vt:lpstr>
      <vt:lpstr>Rmk</vt:lpstr>
      <vt:lpstr>Const</vt:lpstr>
      <vt:lpstr>ZZ</vt:lpstr>
      <vt:lpstr>Y</vt:lpstr>
      <vt:lpstr>MthLinSeq</vt:lpstr>
      <vt:lpstr>GenPgm</vt:lpstr>
      <vt:lpstr>Fm1Col</vt:lpstr>
      <vt:lpstr>Fm2Col</vt:lpstr>
      <vt:lpstr>Fm3Col</vt:lpstr>
      <vt:lpstr>Fm4Col</vt:lpstr>
      <vt:lpstr>Fm5Col</vt:lpstr>
      <vt:lpstr>Keys</vt:lpstr>
      <vt:lpstr>NKey</vt:lpstr>
      <vt:lpstr>Stp_IInpFil</vt:lpstr>
      <vt:lpstr>Stp_ILnkImp</vt:lpstr>
      <vt:lpstr>Stp_InpFilSrc</vt:lpstr>
      <vt:lpstr>Stp_JFbTbl</vt:lpstr>
      <vt:lpstr>Stp_JFxTbl</vt:lpstr>
      <vt:lpstr>Stp_JStru</vt:lpstr>
      <vt:lpstr>Stp_JStruF</vt:lpstr>
      <vt:lpstr>Stp_JTblWh</vt:lpstr>
      <vt:lpstr>Stp_LnkImp</vt:lpstr>
      <vt:lpstr>Stp_LnkImpSrc</vt:lpstr>
      <vt:lpstr>Stp_OB_All</vt:lpstr>
      <vt:lpstr>Stp_OB_FbnNDef</vt:lpstr>
      <vt:lpstr>Stp_OB_FbtMis</vt:lpstr>
      <vt:lpstr>Stp_OB_StruNDef</vt:lpstr>
      <vt:lpstr>Stp_OEr</vt:lpstr>
      <vt:lpstr>Stp_OS_1</vt:lpstr>
      <vt:lpstr>Stp_OS_2</vt:lpstr>
      <vt:lpstr>Stp_OS_All</vt:lpstr>
      <vt:lpstr>Stp_OS_FldDup</vt:lpstr>
      <vt:lpstr>Stp_OS_FldMis</vt:lpstr>
      <vt:lpstr>Stp_OS_FldTyEr</vt:lpstr>
      <vt:lpstr>Stp_OS_FxFldTyMis</vt:lpstr>
      <vt:lpstr>Stp_OS_StruDup</vt:lpstr>
      <vt:lpstr>Stp_OS_StruExcess</vt:lpstr>
      <vt:lpstr>Stp_OS_StruInUse</vt:lpstr>
      <vt:lpstr>Stp_OThwIfEr</vt:lpstr>
      <vt:lpstr>Stp_OU_All</vt:lpstr>
      <vt:lpstr>Stp_OU_FbtNFnd</vt:lpstr>
      <vt:lpstr>Stp_OU_FfnNFnd</vt:lpstr>
      <vt:lpstr>Stp_OU_FxExtnNFnd</vt:lpstr>
      <vt:lpstr>Stp_OU_FxFldTyNMch</vt:lpstr>
      <vt:lpstr>Stp_OU_ThwIfEr</vt:lpstr>
      <vt:lpstr>Stp_OU_WsnNFnd</vt:lpstr>
      <vt:lpstr>Stp_OW_All</vt:lpstr>
      <vt:lpstr>Stp_OW_TblDup</vt:lpstr>
      <vt:lpstr>Stp_OW_TblExcess</vt:lpstr>
      <vt:lpstr>Stp_OW_TblNDef</vt:lpstr>
      <vt:lpstr>Stp_OX_All</vt:lpstr>
      <vt:lpstr>Stp_OX_FxtDup</vt:lpstr>
      <vt:lpstr>Stp_OX_FxtNDef</vt:lpstr>
      <vt:lpstr>Stp_OX_StruNDef</vt:lpstr>
      <vt:lpstr>Stp_RsltCn</vt:lpstr>
      <vt:lpstr>Stp_RsltSql</vt:lpstr>
      <vt:lpstr>Stp_TATblFld</vt:lpstr>
      <vt:lpstr>Stp_TETblFld</vt:lpstr>
      <vt:lpstr>Stp_TTbl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2019-05-18T23:17:38Z</dcterms:created>
  <dcterms:modified xsi:type="dcterms:W3CDTF">2019-05-20T09:40:30Z</dcterms:modified>
</cp:coreProperties>
</file>