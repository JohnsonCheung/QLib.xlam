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rojects\Vba\QLib\.Src\QLib.xlam\.TstRes\"/>
    </mc:Choice>
  </mc:AlternateContent>
  <xr:revisionPtr revIDLastSave="0" documentId="13_ncr:1_{A1364A00-D803-43F8-A0E0-0E0813E25451}" xr6:coauthVersionLast="43" xr6:coauthVersionMax="43" xr10:uidLastSave="{00000000-0000-0000-0000-000000000000}"/>
  <bookViews>
    <workbookView xWindow="-110" yWindow="-110" windowWidth="19420" windowHeight="10420" activeTab="2" xr2:uid="{9279AAFF-77F1-4985-B908-71B99CAE7041}"/>
  </bookViews>
  <sheets>
    <sheet name="SrcCd" sheetId="11" r:id="rId1"/>
    <sheet name="Src" sheetId="12" r:id="rId2"/>
    <sheet name="GenMod" sheetId="10" r:id="rId3"/>
  </sheets>
  <definedNames>
    <definedName name="Fm1Col">#REF!</definedName>
    <definedName name="Fm2Col">#REF!</definedName>
    <definedName name="Fm3Col">#REF!</definedName>
    <definedName name="Fm4Col">#REF!</definedName>
    <definedName name="Fm5Col">#REF!</definedName>
    <definedName name="Keys">#REF!</definedName>
    <definedName name="NKey">#REF!</definedName>
    <definedName name="Stp_IInpFil">#REF!</definedName>
    <definedName name="Stp_ILnkImp">#REF!</definedName>
    <definedName name="Stp_InpFilSrc">#REF!</definedName>
    <definedName name="Stp_JFbTbl">#REF!</definedName>
    <definedName name="Stp_JFxTbl">#REF!</definedName>
    <definedName name="Stp_JStru">#REF!</definedName>
    <definedName name="Stp_JStruF">#REF!</definedName>
    <definedName name="Stp_JTblWh">#REF!</definedName>
    <definedName name="Stp_LnkImp">#REF!</definedName>
    <definedName name="Stp_LnkImpSrc">#REF!</definedName>
    <definedName name="Stp_OB_All">#REF!</definedName>
    <definedName name="Stp_OB_FbnNDef">#REF!</definedName>
    <definedName name="Stp_OB_FbtMis">#REF!</definedName>
    <definedName name="Stp_OB_StruNDef">#REF!</definedName>
    <definedName name="Stp_OEr">#REF!</definedName>
    <definedName name="Stp_OS_1">#REF!</definedName>
    <definedName name="Stp_OS_2">#REF!</definedName>
    <definedName name="Stp_OS_All">#REF!</definedName>
    <definedName name="Stp_OS_FldDup">#REF!</definedName>
    <definedName name="Stp_OS_FldMis">#REF!</definedName>
    <definedName name="Stp_OS_FldTyEr">#REF!</definedName>
    <definedName name="Stp_OS_FxFldTyMis">#REF!</definedName>
    <definedName name="Stp_OS_StruDup">#REF!</definedName>
    <definedName name="Stp_OS_StruExcess">#REF!</definedName>
    <definedName name="Stp_OS_StruInUse">#REF!</definedName>
    <definedName name="Stp_OThwIfEr">#REF!</definedName>
    <definedName name="Stp_OU_All">#REF!</definedName>
    <definedName name="Stp_OU_FbtNFnd">#REF!</definedName>
    <definedName name="Stp_OU_FfnNFnd">#REF!</definedName>
    <definedName name="Stp_OU_FxExtnNFnd">#REF!</definedName>
    <definedName name="Stp_OU_FxFldTyNMch">#REF!</definedName>
    <definedName name="Stp_OU_ThwIfEr">#REF!</definedName>
    <definedName name="Stp_OU_WsnNFnd">#REF!</definedName>
    <definedName name="Stp_OW_All">#REF!</definedName>
    <definedName name="Stp_OW_TblDup">#REF!</definedName>
    <definedName name="Stp_OW_TblExcess">#REF!</definedName>
    <definedName name="Stp_OW_TblNDef">#REF!</definedName>
    <definedName name="Stp_OX_All">#REF!</definedName>
    <definedName name="Stp_OX_FxtDup">#REF!</definedName>
    <definedName name="Stp_OX_FxtNDef">#REF!</definedName>
    <definedName name="Stp_OX_StruNDef">#REF!</definedName>
    <definedName name="Stp_RsltCn">#REF!</definedName>
    <definedName name="Stp_RsltSql">#REF!</definedName>
    <definedName name="Stp_TATblFld">#REF!</definedName>
    <definedName name="Stp_TETblFld">#REF!</definedName>
    <definedName name="Stp_TTbl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2" l="1"/>
  <c r="F6" i="12"/>
  <c r="C49" i="12"/>
  <c r="F49" i="12"/>
  <c r="C2" i="12"/>
  <c r="C3" i="12"/>
  <c r="C4" i="12"/>
  <c r="C5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F3" i="12"/>
  <c r="F4" i="12"/>
  <c r="F5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2" i="12"/>
  <c r="U48" i="12"/>
  <c r="T48" i="12"/>
  <c r="U47" i="12"/>
  <c r="T47" i="12"/>
  <c r="T46" i="12"/>
  <c r="W45" i="12"/>
  <c r="V45" i="12"/>
  <c r="U45" i="12"/>
  <c r="T45" i="12"/>
  <c r="W44" i="12"/>
  <c r="V44" i="12"/>
  <c r="U44" i="12"/>
  <c r="T44" i="12"/>
  <c r="V43" i="12"/>
  <c r="U43" i="12"/>
  <c r="T43" i="12"/>
  <c r="U42" i="12"/>
  <c r="T42" i="12"/>
  <c r="U41" i="12"/>
  <c r="T41" i="12"/>
  <c r="U40" i="12"/>
  <c r="T40" i="12"/>
  <c r="V39" i="12"/>
  <c r="U39" i="12"/>
  <c r="T39" i="12"/>
  <c r="U38" i="12"/>
  <c r="U37" i="12"/>
  <c r="V36" i="12"/>
  <c r="U36" i="12"/>
  <c r="T36" i="12"/>
  <c r="U35" i="12"/>
  <c r="T35" i="12"/>
  <c r="U34" i="12"/>
  <c r="U33" i="12"/>
  <c r="U32" i="12"/>
  <c r="T32" i="12"/>
  <c r="U31" i="12"/>
  <c r="T31" i="12"/>
  <c r="U30" i="12"/>
  <c r="T30" i="12"/>
  <c r="X29" i="12"/>
  <c r="W29" i="12"/>
  <c r="V29" i="12"/>
  <c r="U29" i="12"/>
  <c r="T29" i="12"/>
  <c r="U28" i="12"/>
  <c r="U27" i="12"/>
  <c r="U26" i="12"/>
  <c r="T26" i="12"/>
  <c r="U25" i="12"/>
  <c r="T25" i="12"/>
  <c r="U24" i="12"/>
  <c r="U23" i="12"/>
  <c r="T23" i="12"/>
  <c r="U22" i="12"/>
  <c r="X21" i="12"/>
  <c r="W21" i="12"/>
  <c r="V21" i="12"/>
  <c r="U21" i="12"/>
  <c r="T21" i="12"/>
  <c r="X20" i="12"/>
  <c r="W20" i="12"/>
  <c r="V20" i="12"/>
  <c r="U20" i="12"/>
  <c r="T20" i="12"/>
  <c r="U19" i="12"/>
  <c r="U18" i="12"/>
  <c r="T18" i="12"/>
  <c r="U17" i="12"/>
  <c r="T17" i="12"/>
  <c r="U16" i="12"/>
  <c r="T16" i="12"/>
  <c r="U15" i="12"/>
  <c r="T15" i="12"/>
  <c r="T14" i="12"/>
  <c r="U13" i="12"/>
  <c r="T13" i="12"/>
  <c r="U12" i="12"/>
  <c r="T12" i="12"/>
  <c r="T11" i="12"/>
  <c r="T10" i="12"/>
  <c r="T9" i="12"/>
  <c r="T8" i="12"/>
  <c r="T7" i="12"/>
  <c r="T5" i="12"/>
  <c r="T4" i="12"/>
</calcChain>
</file>

<file path=xl/sharedStrings.xml><?xml version="1.0" encoding="utf-8"?>
<sst xmlns="http://schemas.openxmlformats.org/spreadsheetml/2006/main" count="772" uniqueCount="409">
  <si>
    <t>Src</t>
  </si>
  <si>
    <t>Rslt</t>
  </si>
  <si>
    <t>Id</t>
  </si>
  <si>
    <t>I</t>
  </si>
  <si>
    <t>J</t>
  </si>
  <si>
    <t>T</t>
  </si>
  <si>
    <t>O</t>
  </si>
  <si>
    <t>A</t>
  </si>
  <si>
    <t>E</t>
  </si>
  <si>
    <t>U</t>
  </si>
  <si>
    <t>B</t>
  </si>
  <si>
    <t>X</t>
  </si>
  <si>
    <t>N1</t>
  </si>
  <si>
    <t>N2</t>
  </si>
  <si>
    <t>Er</t>
  </si>
  <si>
    <t>InpFil</t>
  </si>
  <si>
    <t>LnkImp</t>
  </si>
  <si>
    <t>Seq</t>
  </si>
  <si>
    <t>W</t>
  </si>
  <si>
    <t>Stru</t>
  </si>
  <si>
    <t>StruF</t>
  </si>
  <si>
    <t>FxTbl</t>
  </si>
  <si>
    <t>FbTbl</t>
  </si>
  <si>
    <t>TblWh</t>
  </si>
  <si>
    <t>_</t>
  </si>
  <si>
    <t>Fss</t>
  </si>
  <si>
    <t>L Lin IsHdr IsRmk T1 Rst</t>
  </si>
  <si>
    <t>Ffn</t>
  </si>
  <si>
    <t>NFnd</t>
  </si>
  <si>
    <t>Fbt</t>
  </si>
  <si>
    <t>Wsn</t>
  </si>
  <si>
    <t>FxExtn</t>
  </si>
  <si>
    <t>L Fbn Tss</t>
  </si>
  <si>
    <t>L T Fxn Wsn Stru</t>
  </si>
  <si>
    <t>L Stru F Ty Extn</t>
  </si>
  <si>
    <t>L Lin Fn Ffn</t>
  </si>
  <si>
    <t>L Stru</t>
  </si>
  <si>
    <t>L T Wh</t>
  </si>
  <si>
    <t>L Fn Ffn</t>
  </si>
  <si>
    <t>L Fbn Fb Tss</t>
  </si>
  <si>
    <t>L Fxn Fx Wsn</t>
  </si>
  <si>
    <t>Fn Ffn T Fss ActFss</t>
  </si>
  <si>
    <t>Fn Ffn T F Ty ActTy</t>
  </si>
  <si>
    <t>Lss S F</t>
  </si>
  <si>
    <t>Lss S</t>
  </si>
  <si>
    <t>L S F Ty</t>
  </si>
  <si>
    <t>L S</t>
  </si>
  <si>
    <t>Fxn Fx T Fss</t>
  </si>
  <si>
    <t>Lss T</t>
  </si>
  <si>
    <t>Lss Fxn</t>
  </si>
  <si>
    <t>L T Fbn</t>
  </si>
  <si>
    <t>L Fbn</t>
  </si>
  <si>
    <t>L T</t>
  </si>
  <si>
    <t>S</t>
  </si>
  <si>
    <t>Tbl</t>
  </si>
  <si>
    <t>Excess</t>
  </si>
  <si>
    <t>NDef</t>
  </si>
  <si>
    <t>Dup</t>
  </si>
  <si>
    <t>Mis</t>
  </si>
  <si>
    <t>Fxt</t>
  </si>
  <si>
    <t>Fbn</t>
  </si>
  <si>
    <t>Fld</t>
  </si>
  <si>
    <t>FxFldTy</t>
  </si>
  <si>
    <t>InUse</t>
  </si>
  <si>
    <t>FldTy</t>
  </si>
  <si>
    <t>NMch</t>
  </si>
  <si>
    <t>Drs</t>
  </si>
  <si>
    <t>T F Ty Extn</t>
  </si>
  <si>
    <t>T F Ty</t>
  </si>
  <si>
    <t>Fm1</t>
  </si>
  <si>
    <t>Fm2</t>
  </si>
  <si>
    <t>Fm3</t>
  </si>
  <si>
    <t>Fm4</t>
  </si>
  <si>
    <t>Fm5</t>
  </si>
  <si>
    <t>TblFld</t>
  </si>
  <si>
    <t>T Stru Ffn Wsn FxOrFb</t>
  </si>
  <si>
    <t>Key</t>
  </si>
  <si>
    <t/>
  </si>
  <si>
    <t>All</t>
  </si>
  <si>
    <t>ErTy Ern L Msg</t>
  </si>
  <si>
    <t>Cn</t>
  </si>
  <si>
    <t>Sql</t>
  </si>
  <si>
    <t>T S Cn</t>
  </si>
  <si>
    <t>Ret</t>
  </si>
  <si>
    <t>sdfdf</t>
  </si>
  <si>
    <t>sdfkl</t>
  </si>
  <si>
    <t>StpTy</t>
  </si>
  <si>
    <t>Inp</t>
  </si>
  <si>
    <t>Fun</t>
  </si>
  <si>
    <t>Sub</t>
  </si>
  <si>
    <t>ThwIfEr</t>
  </si>
  <si>
    <t>Thw</t>
  </si>
  <si>
    <t>Expr</t>
  </si>
  <si>
    <t>Stmt</t>
  </si>
  <si>
    <t>$()</t>
  </si>
  <si>
    <t>Gp</t>
  </si>
  <si>
    <t>OU</t>
  </si>
  <si>
    <t>OS</t>
  </si>
  <si>
    <t>OX</t>
  </si>
  <si>
    <t>OB</t>
  </si>
  <si>
    <t>Main</t>
  </si>
  <si>
    <t>BrkNm</t>
  </si>
  <si>
    <t>BrkChr</t>
  </si>
  <si>
    <t>Option Explicit</t>
  </si>
  <si>
    <t>End Sub</t>
  </si>
  <si>
    <t>End Function</t>
  </si>
  <si>
    <t>Dim J%</t>
  </si>
  <si>
    <t>Next</t>
  </si>
  <si>
    <t xml:space="preserve">    Next</t>
  </si>
  <si>
    <t xml:space="preserve">    End If</t>
  </si>
  <si>
    <t xml:space="preserve">    Else</t>
  </si>
  <si>
    <t xml:space="preserve">        End If</t>
  </si>
  <si>
    <t>Exit Sub</t>
  </si>
  <si>
    <t xml:space="preserve">    Return</t>
  </si>
  <si>
    <t>End If</t>
  </si>
  <si>
    <t>StpFor</t>
  </si>
  <si>
    <t>Inp2</t>
  </si>
  <si>
    <t>Inp3</t>
  </si>
  <si>
    <t>Inp4</t>
  </si>
  <si>
    <t>Inp5</t>
  </si>
  <si>
    <t>Inp6</t>
  </si>
  <si>
    <t>Inp7</t>
  </si>
  <si>
    <t>Inp8</t>
  </si>
  <si>
    <t>Inp9</t>
  </si>
  <si>
    <t>Inp10</t>
  </si>
  <si>
    <t>Inp11</t>
  </si>
  <si>
    <t>Inp12</t>
  </si>
  <si>
    <t>Inp13</t>
  </si>
  <si>
    <t>Inp14</t>
  </si>
  <si>
    <t>Inp15</t>
  </si>
  <si>
    <t>Inp16</t>
  </si>
  <si>
    <t>Inp17</t>
  </si>
  <si>
    <t>Inp18</t>
  </si>
  <si>
    <t>Inp19</t>
  </si>
  <si>
    <t>Inp20</t>
  </si>
  <si>
    <t>Inp21</t>
  </si>
  <si>
    <t>Inp22</t>
  </si>
  <si>
    <t>Inp23</t>
  </si>
  <si>
    <t>Inp24</t>
  </si>
  <si>
    <t>Inp25</t>
  </si>
  <si>
    <t>Inp26</t>
  </si>
  <si>
    <t>Inp27</t>
  </si>
  <si>
    <t>Inp28</t>
  </si>
  <si>
    <t>Inp29</t>
  </si>
  <si>
    <t>Inp30</t>
  </si>
  <si>
    <t>Inp31</t>
  </si>
  <si>
    <t>Inp32</t>
  </si>
  <si>
    <t>Inp33</t>
  </si>
  <si>
    <t>Inp34</t>
  </si>
  <si>
    <t>Inp35</t>
  </si>
  <si>
    <t>Inp36</t>
  </si>
  <si>
    <t>Inp37</t>
  </si>
  <si>
    <t>Inp38</t>
  </si>
  <si>
    <t>Inp39</t>
  </si>
  <si>
    <t>Inp40</t>
  </si>
  <si>
    <t>Inp41</t>
  </si>
  <si>
    <t>Inp42</t>
  </si>
  <si>
    <t>Inp43</t>
  </si>
  <si>
    <t>Inp44</t>
  </si>
  <si>
    <t>Inp45</t>
  </si>
  <si>
    <t>Inp46</t>
  </si>
  <si>
    <t>Np1</t>
  </si>
  <si>
    <t>Np2</t>
  </si>
  <si>
    <t>Np3</t>
  </si>
  <si>
    <t>Gseq</t>
  </si>
  <si>
    <t>Pfx</t>
  </si>
  <si>
    <t>C</t>
  </si>
  <si>
    <t>Split Into J</t>
  </si>
  <si>
    <t>=</t>
  </si>
  <si>
    <t>WrkTbl</t>
  </si>
  <si>
    <t>TblFb</t>
  </si>
  <si>
    <t>SrcCd</t>
  </si>
  <si>
    <t>C:\Users\user\Documents\Projects\Vba\QLib\QLib.xlam</t>
  </si>
  <si>
    <t>QDao_Lnk_LnkImp</t>
  </si>
  <si>
    <t>Option Compare Text</t>
  </si>
  <si>
    <t>Private Const CMod$ = "BLnkImp."</t>
  </si>
  <si>
    <t>Private Type FxtRec</t>
  </si>
  <si>
    <t xml:space="preserve">    T As String</t>
  </si>
  <si>
    <t xml:space="preserve">    Fxn As String</t>
  </si>
  <si>
    <t xml:space="preserve">    Wsn As String</t>
  </si>
  <si>
    <t xml:space="preserve">    Stru As String</t>
  </si>
  <si>
    <t>End Type</t>
  </si>
  <si>
    <t>Private Type FxtRecs: N As Byte: Ay() As FxtRec: End Type</t>
  </si>
  <si>
    <t>Sub ZZ_LnkImp()</t>
  </si>
  <si>
    <t>Dim InpFilSrc$(), LnkImpSrc$(), Db As Database</t>
  </si>
  <si>
    <t>GoSub T0</t>
  </si>
  <si>
    <t>T0:</t>
  </si>
  <si>
    <t xml:space="preserve">    InpFilSrc = Y_InpFilSrc</t>
  </si>
  <si>
    <t xml:space="preserve">    LnkImpSrc = Y_LnkImpSrc</t>
  </si>
  <si>
    <t xml:space="preserve">    Set Db = TmpDb</t>
  </si>
  <si>
    <t xml:space="preserve">    GoTo Tst</t>
  </si>
  <si>
    <t>Tst:</t>
  </si>
  <si>
    <t xml:space="preserve">    LnkImp InpFilSrc, LnkImpSrc, Db</t>
  </si>
  <si>
    <t>Sub LnkImp(InpFilSrc$(), LnkImpSrc$(), Db As Database)</t>
  </si>
  <si>
    <t>ThwIf_Er ErzLnk(InpFilSrc, LnkImpSrc), CSub</t>
  </si>
  <si>
    <t>Dim a___FbTbl__Fm_TblLy$</t>
  </si>
  <si>
    <t xml:space="preserve">    Dim FbTblLy$():                      FbTblLy = IndentedLy(LnkImpSrc, "FbTbl")</t>
  </si>
  <si>
    <t xml:space="preserve">    Dim b___FbTbl$</t>
  </si>
  <si>
    <t xml:space="preserve">    Dim FbTny$():                          FbTny = B_TnyFb(FbTblLy)</t>
  </si>
  <si>
    <t xml:space="preserve">    Dim Dic_Fbt_Fn As Dictionary: Set Dic_Fbt_Fn = DiczVkkLy(FbTblLy)</t>
  </si>
  <si>
    <t>Dim a___FxtRecs__fm_FxTblLy$</t>
  </si>
  <si>
    <t xml:space="preserve">    Dim FxTblLy$():         FxTblLy = IndentedLy(LnkImpSrc, "FxTbl")</t>
  </si>
  <si>
    <t xml:space="preserve">    Dim b___FxtRecs$</t>
  </si>
  <si>
    <t xml:space="preserve">    Dim FxtRecs As FxtRecs: FxtRecs = B_Fnd_FxtRecs(FxTblLy)   'T* :: TnyOf*</t>
  </si>
  <si>
    <t xml:space="preserve">    </t>
  </si>
  <si>
    <t>Dim b___Tny</t>
  </si>
  <si>
    <t xml:space="preserve">    Dim FxTny$():             FxTny = B_TnyFx(FxtRecs)</t>
  </si>
  <si>
    <t xml:space="preserve">    Dim Tny$():                 Tny = AddSy(FbTny, FxTny)</t>
  </si>
  <si>
    <t>Dim a___Stru$</t>
  </si>
  <si>
    <t xml:space="preserve">    Dim StruSy() As String:  StruSy = B_Fnd_StruSy(LnkImpSrc)</t>
  </si>
  <si>
    <t>Dim a___Dic_T_Stru__$</t>
  </si>
  <si>
    <t xml:space="preserve">    Dim Dic_Fn_Ffn As Dictionary:         Set Dic_Fn_Ffn = Dic(InpFilSrc)</t>
  </si>
  <si>
    <t xml:space="preserve">    Dim Dic_Fxt_Fn As Dictionary:         Set Dic_Fxt_Fn = B_Dic_Fxt_Fn(FxtRecs)</t>
  </si>
  <si>
    <t xml:space="preserve">    Dim Dic_T_Fn As Dictionary:             Set Dic_T_Fn = AddDic(Dic_Fxt_Fn, Dic_Fbt_Fn)</t>
  </si>
  <si>
    <t xml:space="preserve">    Dim b___Dic_T_Stru$</t>
  </si>
  <si>
    <t xml:space="preserve">    Dim T_zDi_Ffn As Dictionary:           Set T_zDi_Ffn = DicAC(Dic_T_Fn, Dic_Fn_Ffn)</t>
  </si>
  <si>
    <t xml:space="preserve">    Dim Dic_T_Stru As Dictionary:         Set Dic_T_Stru = B_Dic_T_Stru(FbTny, FxtRecs)</t>
  </si>
  <si>
    <t>Dim a___ImpSqy$</t>
  </si>
  <si>
    <t xml:space="preserve">    Dim Dic_T_LnkColLy As Dictionary: Set Dic_T_LnkColLy = B_Dic_T_LnkColLy(LnkImpSrc, Dic_T_Stru, StruSy)</t>
  </si>
  <si>
    <t xml:space="preserve">    Dim LTblWh$():                                LTblWh = IndentedLy(LnkImpSrc, "Tbl.Where")</t>
  </si>
  <si>
    <t xml:space="preserve">    Dim Dic_T_Wh As Dictionary:             Set Dic_T_Wh = Dic(LTblWh)</t>
  </si>
  <si>
    <t xml:space="preserve">    Dim b____ImpSqy$</t>
  </si>
  <si>
    <t xml:space="preserve">    Dim ImpSqy$():                                ImpSqy = B__ImpSqy(Tny, Dic_T_LnkColLy, Dic_T_Wh)</t>
  </si>
  <si>
    <t>Dim a___Lnk__AllInpTbl_LnkTblPms$</t>
  </si>
  <si>
    <t xml:space="preserve">    Dim LnkFb As LnkTblPms, LnkFx As LnkTblPms</t>
  </si>
  <si>
    <t xml:space="preserve">    LnkFx = B__LnkTblPms_Fx(FxtRecs, T_zDi_Ffn)</t>
  </si>
  <si>
    <t xml:space="preserve">    LnkFb = B__LnkTblPms_Fb(FbTny, T_zDi_Ffn)</t>
  </si>
  <si>
    <t xml:space="preserve">    Dim b___Lnk$</t>
  </si>
  <si>
    <t xml:space="preserve">    Dim Lnk As LnkTblPms: Lnk = AddLnkTblPms(LnkFb, LnkFx)</t>
  </si>
  <si>
    <t>Dim a___doing_Lnk_and_Imp$</t>
  </si>
  <si>
    <t>LnkImpzLnkpmSqyDb Lnk, ImpSqy, Db</t>
  </si>
  <si>
    <t>Private Function B_Fnd_StruSy(LnkImpSrc$()) As String()</t>
  </si>
  <si>
    <t>Static X As Boolean, Y</t>
  </si>
  <si>
    <t>If Not X Then</t>
  </si>
  <si>
    <t xml:space="preserve">    Y = Sy()</t>
  </si>
  <si>
    <t xml:space="preserve">    X = True</t>
  </si>
  <si>
    <t xml:space="preserve">    Dim I, L$</t>
  </si>
  <si>
    <t xml:space="preserve">    For Each I In LnkImpSrc</t>
  </si>
  <si>
    <t xml:space="preserve">        L = I</t>
  </si>
  <si>
    <t xml:space="preserve">        If HasPfx(L, "Stru.") Then</t>
  </si>
  <si>
    <t xml:space="preserve">            PushI Y, BefSpcOrAll(RmvPfx(L, "Stru."))</t>
  </si>
  <si>
    <t>B_Fnd_StruSy = Y</t>
  </si>
  <si>
    <t>Sub LnkImpzLnkpmSqyDb(L As LnkTblPms, ImpSqy$(), Db As Database)</t>
  </si>
  <si>
    <t>LnkTblzPms Db, L '&lt;==============</t>
  </si>
  <si>
    <t>RunSqy Db, ImpSqy    '&lt;==========</t>
  </si>
  <si>
    <t>DmpNRec Db</t>
  </si>
  <si>
    <t>Private Function B_Dic_T_Stru(Fbt$(), A As FxtRecs) As Dictionary</t>
  </si>
  <si>
    <t>Set B_Dic_T_Stru = New Dictionary</t>
  </si>
  <si>
    <t>Dim T, J%</t>
  </si>
  <si>
    <t>For Each T In Itr(Fbt)</t>
  </si>
  <si>
    <t xml:space="preserve">    B_Dic_T_Stru.Add T, T</t>
  </si>
  <si>
    <t>For J = 0 To A.N - 1</t>
  </si>
  <si>
    <t xml:space="preserve">    With A.Ay(J)</t>
  </si>
  <si>
    <t xml:space="preserve">        B_Dic_T_Stru.Add .T, .Stru</t>
  </si>
  <si>
    <t xml:space="preserve">    End With</t>
  </si>
  <si>
    <t>Private Function B_Dic_Fxt_Ffn(A As FxtRecs, T_Ffn As Dictionary) As Dictionary</t>
  </si>
  <si>
    <t>Set B_Dic_Fxt_Ffn = New Dictionary</t>
  </si>
  <si>
    <t xml:space="preserve">        B_Dic_Fxt_Ffn.Add .T, T_Ffn(.Fxn)</t>
  </si>
  <si>
    <t>Private Function B_Dic_Fxt_Fn(A As FxtRecs) As Dictionary</t>
  </si>
  <si>
    <t>Set B_Dic_Fxt_Fn = New Dictionary</t>
  </si>
  <si>
    <t xml:space="preserve">    B_Dic_Fxt_Fn.Add .T, .Fxn</t>
  </si>
  <si>
    <t>Private Function B_TnyFx(A As FxtRecs) As String()</t>
  </si>
  <si>
    <t xml:space="preserve">    PushI B_TnyFx, A.Ay(J).T</t>
  </si>
  <si>
    <t>Private Function B_TnyFb(LFbTbl$()) As String()</t>
  </si>
  <si>
    <t>For J = 0 To UB(LFbTbl)</t>
  </si>
  <si>
    <t xml:space="preserve">    PushIAy B_TnyFb, SyzSS(RmvT1(LFbTbl(J)))</t>
  </si>
  <si>
    <t>Private Function B__ImpSqy(Tny$(), TzDiLnkColLy As Dictionary, TzDiBexpr As Dictionary) As String()</t>
  </si>
  <si>
    <t>Dim I, Fny$(), Ey$(), T$, Into$, LnkColLy$(), Bexpr$</t>
  </si>
  <si>
    <t>For Each I In Itr(Tny)</t>
  </si>
  <si>
    <t xml:space="preserve">       T = "&gt;" &amp; I</t>
  </si>
  <si>
    <t xml:space="preserve">    Into = "#I" &amp; I</t>
  </si>
  <si>
    <t>LnkColLy = ValzDicK(TzDiLnkColLy, I, Dicn:="TzDiLnkColLy", Kn:="TblNm", Fun:=CSub)</t>
  </si>
  <si>
    <t xml:space="preserve">     Fny = T1Ay(LnkColLy)</t>
  </si>
  <si>
    <t xml:space="preserve">      Ey = RmvSqBktzSy(RmvTTzAy(LnkColLy))</t>
  </si>
  <si>
    <t xml:space="preserve">   Bexpr = ValzDicIf(TzDiBexpr, I)</t>
  </si>
  <si>
    <t xml:space="preserve">    PushI B__ImpSqy, SqlSel_Fny_Extny_Into_T_OB(Fny, Ey, Into, T, Bexpr)</t>
  </si>
  <si>
    <t>Private Function B_Fnd_FxtRecs(FxTblLy$()) As FxtRecs</t>
  </si>
  <si>
    <t>Dim OAy() As FxtRec, J%, L$, A$</t>
  </si>
  <si>
    <t>For J = 0 To UB(FxTblLy)</t>
  </si>
  <si>
    <t xml:space="preserve">    L = FxTblLy(J)</t>
  </si>
  <si>
    <t xml:space="preserve">    ReDim Preserve OAy(J)</t>
  </si>
  <si>
    <t xml:space="preserve">    With OAy(J)</t>
  </si>
  <si>
    <t xml:space="preserve">        .T = ShfT1(L)</t>
  </si>
  <si>
    <t xml:space="preserve">        A = ShfT1(L)</t>
  </si>
  <si>
    <t xml:space="preserve">        .Fxn = B_Fnd_Fxn(A, .T)</t>
  </si>
  <si>
    <t xml:space="preserve">        .Wsn = B_Fnd_Wsn(A)</t>
  </si>
  <si>
    <t xml:space="preserve">        .Stru = StrDft(L, .T)</t>
  </si>
  <si>
    <t>B_Fnd_FxtRecs.N = Si(FxTblLy)</t>
  </si>
  <si>
    <t>B_Fnd_FxtRecs.Ay = OAy</t>
  </si>
  <si>
    <t>Private Function B_Fnd_Wsn(Fxn_dot_Wsn)</t>
  </si>
  <si>
    <t>Dim A$: A = Fxn_dot_Wsn</t>
  </si>
  <si>
    <t>If A = "" Then B_Fnd_Wsn = "Sheet1": Exit Function</t>
  </si>
  <si>
    <t>If Not HasDot(A) Then B_Fnd_Wsn = "Sheet1": Exit Function</t>
  </si>
  <si>
    <t>B_Fnd_Wsn = AftDot(A)</t>
  </si>
  <si>
    <t>Private Function B_Fnd_Fxn(Fxn_dot_Wsn, T)</t>
  </si>
  <si>
    <t>If A = "" Then B_Fnd_Fxn = T: Exit Function</t>
  </si>
  <si>
    <t>If HasDot(A) Then B_Fnd_Fxn = BefDot(A): Exit Function</t>
  </si>
  <si>
    <t>B_Fnd_Fxn = Fxn_dot_Wsn</t>
  </si>
  <si>
    <t>Private Function B__LnkTblPms_Fb(TFb$(), TzDiFbFx As Dictionary) As LnkTblPms</t>
  </si>
  <si>
    <t>Dim Fbn$, A$, T, Cn$</t>
  </si>
  <si>
    <t>For Each T In Itr(TFb)</t>
  </si>
  <si>
    <t xml:space="preserve">    If Not TzDiFbFx.Exists(T) Then</t>
  </si>
  <si>
    <t xml:space="preserve">        Thw CSub, "TzDiFbFx does not contains T", "T TzDiFbFx TFb", Fbn, TzDiFbFx, T, TFb</t>
  </si>
  <si>
    <t xml:space="preserve">    Cn = CnStrzFbDao(TzDiFbFx(T))</t>
  </si>
  <si>
    <t xml:space="preserve">    PushLnkTblPm B__LnkTblPms_Fb, LnkTblPm("&gt;" &amp; T, T, Cn)</t>
  </si>
  <si>
    <t>Private Function B__LnkTblPms_Fx(A As FxtRecs, TzDiFbFx As Dictionary) As LnkTblPms</t>
  </si>
  <si>
    <t>Dim J%, S$, Fx$, Cn$</t>
  </si>
  <si>
    <t xml:space="preserve">    Fx = TzDiFbFx(.T)</t>
  </si>
  <si>
    <t xml:space="preserve">    If Fx = "" Then Thw CSub, "TzDiFbFx does not have Key", "Tbl-Key TblNmToTzDiFbFx", .T, TzDiFbFx</t>
  </si>
  <si>
    <t xml:space="preserve">    If IsNeedQuote(.Wsn) Then</t>
  </si>
  <si>
    <t xml:space="preserve">        S = "'" &amp; .Wsn &amp; "$'"</t>
  </si>
  <si>
    <t xml:space="preserve">        S = .Wsn &amp; "$"</t>
  </si>
  <si>
    <t xml:space="preserve">    Cn = CnStrzFxDao(Fx)</t>
  </si>
  <si>
    <t xml:space="preserve">    PushLnkTblPm B__LnkTblPms_Fx, LnkTblPm("&gt;" &amp; .T, S, Cn)</t>
  </si>
  <si>
    <t>Private Function B_Dic_T_LnkColLy(LnkImpSrc$(), TzDiStru As Dictionary, StruSy$()) As Dictionary</t>
  </si>
  <si>
    <t>Dim T, Stru$, LnkColLy$()</t>
  </si>
  <si>
    <t>Set B_Dic_T_LnkColLy = New Dictionary</t>
  </si>
  <si>
    <t>For Each T In TzDiStru.Keys</t>
  </si>
  <si>
    <t xml:space="preserve">    Stru = TzDiStru(T)</t>
  </si>
  <si>
    <t xml:space="preserve">    LnkColLy = IndentedLy(LnkImpSrc, "Stru." &amp; Stru)</t>
  </si>
  <si>
    <t xml:space="preserve">    B_Dic_T_LnkColLy.Add T, LnkColLy</t>
  </si>
  <si>
    <t>Private Property Get Y_InpFilSrc() As String()</t>
  </si>
  <si>
    <t>Erase XX</t>
  </si>
  <si>
    <t>X "DutyPay C:\Users\User\Desktop\SAPAccessReports\DutyPrepay5\DutyPrepay5_Data.mdb"</t>
  </si>
  <si>
    <t>X "ZHT0  C:\Users\user\Desktop\MHD\SAPAccessReports\TaxRateAlert\TaxRateAlert\Sample\Pricing report(ForUpload).xls"</t>
  </si>
  <si>
    <t>X "MB52  C:\Users\user\Desktop\MHD\SAPAccessReports\TaxRateAlert\TaxRateAlert\Sample\2018\MB52 2018-01-30.xls"</t>
  </si>
  <si>
    <t>X "Uom   C:\Users\user\Desktop\MHD\SAPAccessReports\TaxRateAlert\TaxRateAlert\Sample\sales text.xlsx"</t>
  </si>
  <si>
    <t>X "GLBal C:\Users\user\Desktop\MHD\SAPAccessReports\TaxRateAlert\TaxRateAlert\Sample\DutyPrepayGLTot.xlsx"</t>
  </si>
  <si>
    <t>Y_InpFilSrc = XX</t>
  </si>
  <si>
    <t>End Property</t>
  </si>
  <si>
    <t>Private Property Get Y_LnkImpSrc() As String()</t>
  </si>
  <si>
    <t>X "FbTbl"</t>
  </si>
  <si>
    <t>X "--  Fbn TblNm.."</t>
  </si>
  <si>
    <t>X " DutyPay Permit PermitD"</t>
  </si>
  <si>
    <t>X "FxTbl T  FxNm.Wsn  Stru"</t>
  </si>
  <si>
    <t>X " ZHT086  ZHT0.8600 ZHT0"</t>
  </si>
  <si>
    <t>X " ZHT087  ZHT0.8700 ZHT0"</t>
  </si>
  <si>
    <t>X " MB52                  "</t>
  </si>
  <si>
    <t>X " Uom                   "</t>
  </si>
  <si>
    <t>X " GLBal"</t>
  </si>
  <si>
    <t>X "Tbl.Where"</t>
  </si>
  <si>
    <t>X " MB52 Plant='8601' and [Storage Location] in ('0002','')"</t>
  </si>
  <si>
    <t>X " Uom  Plant='8601'"</t>
  </si>
  <si>
    <t>X "Stru.Permit"</t>
  </si>
  <si>
    <t>X " Permit"</t>
  </si>
  <si>
    <t>X " PermitNo"</t>
  </si>
  <si>
    <t>X " PermitDate"</t>
  </si>
  <si>
    <t>X " PostDate"</t>
  </si>
  <si>
    <t>X " NSku"</t>
  </si>
  <si>
    <t>X " Qty"</t>
  </si>
  <si>
    <t>X " Tot"</t>
  </si>
  <si>
    <t>X " GLAc"</t>
  </si>
  <si>
    <t>X " GLAcName"</t>
  </si>
  <si>
    <t>X " BankCode"</t>
  </si>
  <si>
    <t>X " ByUsr"</t>
  </si>
  <si>
    <t>X " DteCrt"</t>
  </si>
  <si>
    <t>X " DteUpd"</t>
  </si>
  <si>
    <t>X "Stru.PermitD"</t>
  </si>
  <si>
    <t>X " PermitD"</t>
  </si>
  <si>
    <t>X " Sku"</t>
  </si>
  <si>
    <t>X " SeqNo"</t>
  </si>
  <si>
    <t>X " BchNo"</t>
  </si>
  <si>
    <t>X " Rate"</t>
  </si>
  <si>
    <t>X " Amt"</t>
  </si>
  <si>
    <t>X "Stru.ZHT0"</t>
  </si>
  <si>
    <t>X " Sku       Txt Material    "</t>
  </si>
  <si>
    <t>X " CurRateAc Dbl [     Amount]"</t>
  </si>
  <si>
    <t>X " VdtFm     Txt Valid From  "</t>
  </si>
  <si>
    <t>X " VdtTo     Txt Valid to    "</t>
  </si>
  <si>
    <t>X " HKD       Txt Unit        "</t>
  </si>
  <si>
    <t>X " Per       Txt per         "</t>
  </si>
  <si>
    <t>X " CA_Uom    Txt Uom         "</t>
  </si>
  <si>
    <t>X "Stru.MB52"</t>
  </si>
  <si>
    <t>X " Sku    Txt Material          "</t>
  </si>
  <si>
    <t>X " Whs    Txt Plant             "</t>
  </si>
  <si>
    <t>X " Loc    Txt Storage Location  "</t>
  </si>
  <si>
    <t>X " BchNo  Txt Batch             "</t>
  </si>
  <si>
    <t>X " QInsp  Dbl In Quality Insp#  "</t>
  </si>
  <si>
    <t>X " QUnRes Dbl UnRestricted      "</t>
  </si>
  <si>
    <t>X " QBlk   Dbl Blocked           "</t>
  </si>
  <si>
    <t>X " VInsp  Dbl Value in QualInsp#"</t>
  </si>
  <si>
    <t>X " VUnRes Dbl Value Unrestricted"</t>
  </si>
  <si>
    <t>X " VBlk   Dbl Value BlockedStock"</t>
  </si>
  <si>
    <t>X "Stru.Uom"</t>
  </si>
  <si>
    <t>X " Sc_U    Txt SC "</t>
  </si>
  <si>
    <t>X " Topaz   Txt Topaz Code "</t>
  </si>
  <si>
    <t>X " ProdH   Txt Product hierarchy"</t>
  </si>
  <si>
    <t>X " Sku     Txt Material            "</t>
  </si>
  <si>
    <t>X " Des     Txt Material Description"</t>
  </si>
  <si>
    <t>X " AC_U    Txt Unit per case       "</t>
  </si>
  <si>
    <t>X " SkuUom  Txt Base Unit of Measure"</t>
  </si>
  <si>
    <t>X " BusArea Txt Business Area       "</t>
  </si>
  <si>
    <t>X "Stru.GLBal"</t>
  </si>
  <si>
    <t>X " BusArea Txt Business Area Code"</t>
  </si>
  <si>
    <t>X " GLBal   Dbl                   "</t>
  </si>
  <si>
    <t>X " Permit           GLBal   Dbl                     "</t>
  </si>
  <si>
    <t>X " PermitD          GLBal   Dbl                     "</t>
  </si>
  <si>
    <t>X "Stru.SkuRepackMulti"</t>
  </si>
  <si>
    <t>X " SkuRepackMulti   GLBal   Dbl                     "</t>
  </si>
  <si>
    <t>X "Stru.SkuTaxBy3rdParty"</t>
  </si>
  <si>
    <t>X " SkuTaxBy3rdParty GLBal   Dbl                     "</t>
  </si>
  <si>
    <t>X "Stru.SkuNoLongerTax"</t>
  </si>
  <si>
    <t>X " SkuNoLongerTax"</t>
  </si>
  <si>
    <t>Y_LnkImpSrc = XX</t>
  </si>
  <si>
    <t>Private Sub ZZ()</t>
  </si>
  <si>
    <t>ZZ_LnkImp</t>
  </si>
  <si>
    <t>Private Sub ZZZ()</t>
  </si>
  <si>
    <t>QDao_Lnk_LnkImp.ZZ_LnkImp</t>
  </si>
  <si>
    <t>Sub Z1()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</si>
</sst>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applyFont="1" applyFill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/>
    </xf>
    <xf numFmtId="0" fontId="1" fillId="0" borderId="0" xfId="0" quotePrefix="1" applyFont="1" applyFill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/>
    <xf numFmtId="0" fontId="3" fillId="0" borderId="0" xfId="1" applyAlignment="1">
      <alignment horizontal="left"/>
    </xf>
    <xf numFmtId="0" fontId="3" fillId="0" borderId="0" xfId="1"/>
    <xf numFmtId="0" fontId="2" fillId="0" borderId="1" xfId="0" applyNumberFormat="1" applyFont="1" applyFill="1" applyBorder="1"/>
    <xf numFmtId="0" fontId="2" fillId="0" borderId="0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146050</xdr:colOff>
          <xdr:row>0</xdr:row>
          <xdr:rowOff>95250</xdr:rowOff>
        </xdr:from>
        <xdr:to>
          <xdr:col>2</xdr:col>
          <xdr:colOff>476250</xdr:colOff>
          <xdr:row>0</xdr:row>
          <xdr:rowOff>330200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Program</a:t>
              </a:r>
            </a:p>
            <a:p>
              <a:pPr algn="ctr" rtl="0">
                <a:defRPr sz="1000"/>
              </a:pPr>
              <a:endParaRPr lang="en-HK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E39081-C42E-4705-B550-A669D6D56457}" name="T_SrcCd" displayName="T_SrcCd" ref="A3:A324">
  <autoFilter ref="A3:A324" xr:uid="{2059B0D9-EC90-4D29-A1BA-41D8A8A66A99}"/>
  <tableColumns count="1">
    <tableColumn id="1" xr3:uid="{ECB881D1-486C-4A05-A912-5F78F123319D}" name="SrcC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05AD6A-38ED-46B1-A14C-9BD57BB62F18}" name="T_Src" displayName="T_Src" ref="A1:X49" totalsRowShown="0" headerRowDxfId="23" dataDxfId="22">
  <autoFilter ref="A1:X49" xr:uid="{1043B111-9D2B-498F-B3BE-155CBE36499B}"/>
  <tableColumns count="24">
    <tableColumn id="26" xr3:uid="{EA28ADE0-EB83-4197-959D-E0AD5566F535}" name="Pfx" dataDxfId="21"/>
    <tableColumn id="5" xr3:uid="{593E126D-990A-4E65-A23D-BA695D204355}" name="Seq" dataDxfId="20"/>
    <tableColumn id="2" xr3:uid="{EE62052F-69CF-4B9C-A66F-57EB2EB88677}" name="Id" dataDxfId="19">
      <calculatedColumnFormula>T_Src[Gp]&amp;T_Src[Gseq]</calculatedColumnFormula>
    </tableColumn>
    <tableColumn id="9" xr3:uid="{7C130940-2729-4454-B4A4-C73EFF7D2A8C}" name="Gp" dataDxfId="18"/>
    <tableColumn id="10" xr3:uid="{89C8693B-CB91-486B-B1DF-919AA553A471}" name="Gseq" dataDxfId="17"/>
    <tableColumn id="1" xr3:uid="{03CE01FC-345C-4491-8868-688E7665D5B1}" name="Key" dataDxfId="16">
      <calculatedColumnFormula>T_Src[Np1]&amp;T_Src[Np2]&amp;T_Src[Np3]&amp;T_Src[N1]&amp;T_Src[N2]</calculatedColumnFormula>
    </tableColumn>
    <tableColumn id="3" xr3:uid="{E418F430-1FB3-42AC-B17B-744EF8ECC7AD}" name="Ret" dataDxfId="15"/>
    <tableColumn id="4" xr3:uid="{FADBC844-5DB5-40EF-89A2-BAC5E3222C44}" name="StpTy" dataDxfId="14"/>
    <tableColumn id="6" xr3:uid="{12144B70-E505-4358-90D7-86F43DB32B99}" name="Np1" dataDxfId="13"/>
    <tableColumn id="7" xr3:uid="{DDE55B1B-F667-44D3-B403-99F811CB0667}" name="Np2" dataDxfId="12"/>
    <tableColumn id="8" xr3:uid="{F384DE10-F6EA-4683-9275-9C2E3BBD4D20}" name="Np3" dataDxfId="11"/>
    <tableColumn id="11" xr3:uid="{F7E741D6-E5CF-485B-BECB-4574EA00699A}" name="N1" dataDxfId="10"/>
    <tableColumn id="12" xr3:uid="{E651C2F0-DB82-431A-B98B-E1543A37D5EF}" name="N2" dataDxfId="9"/>
    <tableColumn id="13" xr3:uid="{7E630CA4-6416-4562-A670-D5DECEFF96FE}" name="Stmt" dataDxfId="8"/>
    <tableColumn id="14" xr3:uid="{4FB81822-0540-4D6F-9844-70E89F359F46}" name="Expr" dataDxfId="7"/>
    <tableColumn id="15" xr3:uid="{40EF5204-964A-4C14-A99C-972AD2E1B549}" name="BrkNm" dataDxfId="6"/>
    <tableColumn id="16" xr3:uid="{3C0FF409-7283-474F-864A-871B385BD816}" name="BrkChr" dataDxfId="5"/>
    <tableColumn id="17" xr3:uid="{16C83E62-F67C-4FD6-8DB5-7F26977F66EC}" name="StpFor" dataDxfId="4"/>
    <tableColumn id="18" xr3:uid="{4EEB88BC-9E77-4F56-82FF-49DF1B7D0C23}" name="Fss" dataDxfId="3"/>
    <tableColumn id="19" xr3:uid="{F7AEB715-5864-4B47-B003-1BC185A4943B}" name="Fm1" dataCellStyle="Hyperlink"/>
    <tableColumn id="20" xr3:uid="{8A0AAAA0-3E99-4117-AB11-D9ECF6B74BBB}" name="Fm2" dataCellStyle="Hyperlink"/>
    <tableColumn id="21" xr3:uid="{A786EA30-5B63-4F6F-AB6B-CA2391ADE6D7}" name="Fm3" dataDxfId="2"/>
    <tableColumn id="22" xr3:uid="{297EE10B-0D7F-4D5A-9190-1D8B91427AB2}" name="Fm4" dataDxfId="1"/>
    <tableColumn id="23" xr3:uid="{9DEF9EA1-24F6-4BC6-A712-2F066060CE2B}" name="Fm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876AA-8B61-40A1-83FB-E18CF1164E6D}">
  <sheetPr codeName="WsSrcCd"/>
  <dimension ref="A1:A324"/>
  <sheetViews>
    <sheetView workbookViewId="0">
      <selection activeCell="A13" sqref="A13:A16"/>
    </sheetView>
  </sheetViews>
  <sheetFormatPr defaultRowHeight="14.5" x14ac:dyDescent="0.35"/>
  <cols>
    <col min="1" max="1" width="108.36328125" bestFit="1" customWidth="1"/>
  </cols>
  <sheetData>
    <row r="1" spans="1:1" x14ac:dyDescent="0.35">
      <c r="A1" t="s">
        <v>172</v>
      </c>
    </row>
    <row r="2" spans="1:1" x14ac:dyDescent="0.35">
      <c r="A2" t="s">
        <v>173</v>
      </c>
    </row>
    <row r="3" spans="1:1" x14ac:dyDescent="0.35">
      <c r="A3" t="s">
        <v>171</v>
      </c>
    </row>
    <row r="4" spans="1:1" x14ac:dyDescent="0.35">
      <c r="A4" t="s">
        <v>174</v>
      </c>
    </row>
    <row r="5" spans="1:1" x14ac:dyDescent="0.35">
      <c r="A5" t="s">
        <v>103</v>
      </c>
    </row>
    <row r="6" spans="1:1" x14ac:dyDescent="0.35">
      <c r="A6" t="s">
        <v>175</v>
      </c>
    </row>
    <row r="7" spans="1:1" x14ac:dyDescent="0.35">
      <c r="A7" t="s">
        <v>176</v>
      </c>
    </row>
    <row r="8" spans="1:1" x14ac:dyDescent="0.35">
      <c r="A8" t="s">
        <v>177</v>
      </c>
    </row>
    <row r="9" spans="1:1" x14ac:dyDescent="0.35">
      <c r="A9" t="s">
        <v>178</v>
      </c>
    </row>
    <row r="10" spans="1:1" x14ac:dyDescent="0.35">
      <c r="A10" t="s">
        <v>179</v>
      </c>
    </row>
    <row r="11" spans="1:1" x14ac:dyDescent="0.35">
      <c r="A11" t="s">
        <v>180</v>
      </c>
    </row>
    <row r="12" spans="1:1" x14ac:dyDescent="0.35">
      <c r="A12" t="s">
        <v>181</v>
      </c>
    </row>
    <row r="13" spans="1:1" x14ac:dyDescent="0.35">
      <c r="A13" t="s">
        <v>182</v>
      </c>
    </row>
    <row r="14" spans="1:1" x14ac:dyDescent="0.35">
      <c r="A14" t="s">
        <v>183</v>
      </c>
    </row>
    <row r="15" spans="1:1" x14ac:dyDescent="0.35">
      <c r="A15" t="s">
        <v>184</v>
      </c>
    </row>
    <row r="16" spans="1:1" x14ac:dyDescent="0.35">
      <c r="A16" t="s">
        <v>185</v>
      </c>
    </row>
    <row r="17" spans="1:1" x14ac:dyDescent="0.35">
      <c r="A17" t="s">
        <v>112</v>
      </c>
    </row>
    <row r="18" spans="1:1" x14ac:dyDescent="0.35">
      <c r="A18" t="s">
        <v>186</v>
      </c>
    </row>
    <row r="19" spans="1:1" x14ac:dyDescent="0.35">
      <c r="A19" t="s">
        <v>187</v>
      </c>
    </row>
    <row r="20" spans="1:1" x14ac:dyDescent="0.35">
      <c r="A20" t="s">
        <v>188</v>
      </c>
    </row>
    <row r="21" spans="1:1" x14ac:dyDescent="0.35">
      <c r="A21" t="s">
        <v>189</v>
      </c>
    </row>
    <row r="22" spans="1:1" x14ac:dyDescent="0.35">
      <c r="A22" t="s">
        <v>190</v>
      </c>
    </row>
    <row r="23" spans="1:1" x14ac:dyDescent="0.35">
      <c r="A23" t="s">
        <v>191</v>
      </c>
    </row>
    <row r="24" spans="1:1" x14ac:dyDescent="0.35">
      <c r="A24" t="s">
        <v>192</v>
      </c>
    </row>
    <row r="25" spans="1:1" x14ac:dyDescent="0.35">
      <c r="A25" t="s">
        <v>113</v>
      </c>
    </row>
    <row r="26" spans="1:1" x14ac:dyDescent="0.35">
      <c r="A26" t="s">
        <v>104</v>
      </c>
    </row>
    <row r="28" spans="1:1" x14ac:dyDescent="0.35">
      <c r="A28" t="s">
        <v>193</v>
      </c>
    </row>
    <row r="29" spans="1:1" x14ac:dyDescent="0.35">
      <c r="A29" t="s">
        <v>194</v>
      </c>
    </row>
    <row r="30" spans="1:1" x14ac:dyDescent="0.35">
      <c r="A30" t="s">
        <v>195</v>
      </c>
    </row>
    <row r="31" spans="1:1" x14ac:dyDescent="0.35">
      <c r="A31" t="s">
        <v>196</v>
      </c>
    </row>
    <row r="32" spans="1:1" x14ac:dyDescent="0.35">
      <c r="A32" t="s">
        <v>197</v>
      </c>
    </row>
    <row r="33" spans="1:1" x14ac:dyDescent="0.35">
      <c r="A33" t="s">
        <v>198</v>
      </c>
    </row>
    <row r="34" spans="1:1" x14ac:dyDescent="0.35">
      <c r="A34" t="s">
        <v>199</v>
      </c>
    </row>
    <row r="36" spans="1:1" x14ac:dyDescent="0.35">
      <c r="A36" t="s">
        <v>200</v>
      </c>
    </row>
    <row r="37" spans="1:1" x14ac:dyDescent="0.35">
      <c r="A37" t="s">
        <v>201</v>
      </c>
    </row>
    <row r="38" spans="1:1" x14ac:dyDescent="0.35">
      <c r="A38" t="s">
        <v>202</v>
      </c>
    </row>
    <row r="39" spans="1:1" x14ac:dyDescent="0.35">
      <c r="A39" t="s">
        <v>203</v>
      </c>
    </row>
    <row r="40" spans="1:1" x14ac:dyDescent="0.35">
      <c r="A40" t="s">
        <v>204</v>
      </c>
    </row>
    <row r="41" spans="1:1" x14ac:dyDescent="0.35">
      <c r="A41" t="s">
        <v>205</v>
      </c>
    </row>
    <row r="42" spans="1:1" x14ac:dyDescent="0.35">
      <c r="A42" t="s">
        <v>206</v>
      </c>
    </row>
    <row r="43" spans="1:1" x14ac:dyDescent="0.35">
      <c r="A43" t="s">
        <v>207</v>
      </c>
    </row>
    <row r="45" spans="1:1" x14ac:dyDescent="0.35">
      <c r="A45" t="s">
        <v>208</v>
      </c>
    </row>
    <row r="46" spans="1:1" x14ac:dyDescent="0.35">
      <c r="A46" t="s">
        <v>209</v>
      </c>
    </row>
    <row r="48" spans="1:1" x14ac:dyDescent="0.35">
      <c r="A48" t="s">
        <v>210</v>
      </c>
    </row>
    <row r="49" spans="1:1" x14ac:dyDescent="0.35">
      <c r="A49" t="s">
        <v>211</v>
      </c>
    </row>
    <row r="50" spans="1:1" x14ac:dyDescent="0.35">
      <c r="A50" t="s">
        <v>212</v>
      </c>
    </row>
    <row r="51" spans="1:1" x14ac:dyDescent="0.35">
      <c r="A51" t="s">
        <v>213</v>
      </c>
    </row>
    <row r="52" spans="1:1" x14ac:dyDescent="0.35">
      <c r="A52" t="s">
        <v>214</v>
      </c>
    </row>
    <row r="53" spans="1:1" x14ac:dyDescent="0.35">
      <c r="A53" t="s">
        <v>215</v>
      </c>
    </row>
    <row r="54" spans="1:1" x14ac:dyDescent="0.35">
      <c r="A54" t="s">
        <v>216</v>
      </c>
    </row>
    <row r="56" spans="1:1" x14ac:dyDescent="0.35">
      <c r="A56" t="s">
        <v>217</v>
      </c>
    </row>
    <row r="57" spans="1:1" x14ac:dyDescent="0.35">
      <c r="A57" t="s">
        <v>218</v>
      </c>
    </row>
    <row r="58" spans="1:1" x14ac:dyDescent="0.35">
      <c r="A58" t="s">
        <v>219</v>
      </c>
    </row>
    <row r="59" spans="1:1" x14ac:dyDescent="0.35">
      <c r="A59" t="s">
        <v>220</v>
      </c>
    </row>
    <row r="60" spans="1:1" x14ac:dyDescent="0.35">
      <c r="A60" t="s">
        <v>221</v>
      </c>
    </row>
    <row r="61" spans="1:1" x14ac:dyDescent="0.35">
      <c r="A61" t="s">
        <v>222</v>
      </c>
    </row>
    <row r="63" spans="1:1" x14ac:dyDescent="0.35">
      <c r="A63" t="s">
        <v>223</v>
      </c>
    </row>
    <row r="64" spans="1:1" x14ac:dyDescent="0.35">
      <c r="A64" t="s">
        <v>224</v>
      </c>
    </row>
    <row r="65" spans="1:1" x14ac:dyDescent="0.35">
      <c r="A65" t="s">
        <v>225</v>
      </c>
    </row>
    <row r="66" spans="1:1" x14ac:dyDescent="0.35">
      <c r="A66" t="s">
        <v>226</v>
      </c>
    </row>
    <row r="67" spans="1:1" x14ac:dyDescent="0.35">
      <c r="A67" t="s">
        <v>227</v>
      </c>
    </row>
    <row r="68" spans="1:1" x14ac:dyDescent="0.35">
      <c r="A68" t="s">
        <v>228</v>
      </c>
    </row>
    <row r="69" spans="1:1" x14ac:dyDescent="0.35">
      <c r="A69" t="s">
        <v>204</v>
      </c>
    </row>
    <row r="70" spans="1:1" x14ac:dyDescent="0.35">
      <c r="A70" t="s">
        <v>229</v>
      </c>
    </row>
    <row r="71" spans="1:1" x14ac:dyDescent="0.35">
      <c r="A71" t="s">
        <v>230</v>
      </c>
    </row>
    <row r="72" spans="1:1" x14ac:dyDescent="0.35">
      <c r="A72" t="s">
        <v>104</v>
      </c>
    </row>
    <row r="73" spans="1:1" x14ac:dyDescent="0.35">
      <c r="A73" t="s">
        <v>231</v>
      </c>
    </row>
    <row r="74" spans="1:1" x14ac:dyDescent="0.35">
      <c r="A74" t="s">
        <v>232</v>
      </c>
    </row>
    <row r="75" spans="1:1" x14ac:dyDescent="0.35">
      <c r="A75" t="s">
        <v>233</v>
      </c>
    </row>
    <row r="76" spans="1:1" x14ac:dyDescent="0.35">
      <c r="A76" t="s">
        <v>234</v>
      </c>
    </row>
    <row r="77" spans="1:1" x14ac:dyDescent="0.35">
      <c r="A77" t="s">
        <v>235</v>
      </c>
    </row>
    <row r="78" spans="1:1" x14ac:dyDescent="0.35">
      <c r="A78" t="s">
        <v>236</v>
      </c>
    </row>
    <row r="79" spans="1:1" x14ac:dyDescent="0.35">
      <c r="A79" t="s">
        <v>237</v>
      </c>
    </row>
    <row r="80" spans="1:1" x14ac:dyDescent="0.35">
      <c r="A80" t="s">
        <v>238</v>
      </c>
    </row>
    <row r="81" spans="1:1" x14ac:dyDescent="0.35">
      <c r="A81" t="s">
        <v>239</v>
      </c>
    </row>
    <row r="82" spans="1:1" x14ac:dyDescent="0.35">
      <c r="A82" t="s">
        <v>240</v>
      </c>
    </row>
    <row r="83" spans="1:1" x14ac:dyDescent="0.35">
      <c r="A83" t="s">
        <v>111</v>
      </c>
    </row>
    <row r="84" spans="1:1" x14ac:dyDescent="0.35">
      <c r="A84" t="s">
        <v>108</v>
      </c>
    </row>
    <row r="85" spans="1:1" x14ac:dyDescent="0.35">
      <c r="A85" t="s">
        <v>114</v>
      </c>
    </row>
    <row r="86" spans="1:1" x14ac:dyDescent="0.35">
      <c r="A86" t="s">
        <v>241</v>
      </c>
    </row>
    <row r="87" spans="1:1" x14ac:dyDescent="0.35">
      <c r="A87" t="s">
        <v>105</v>
      </c>
    </row>
    <row r="90" spans="1:1" x14ac:dyDescent="0.35">
      <c r="A90" t="s">
        <v>242</v>
      </c>
    </row>
    <row r="91" spans="1:1" x14ac:dyDescent="0.35">
      <c r="A91" t="s">
        <v>243</v>
      </c>
    </row>
    <row r="92" spans="1:1" x14ac:dyDescent="0.35">
      <c r="A92" t="s">
        <v>244</v>
      </c>
    </row>
    <row r="93" spans="1:1" x14ac:dyDescent="0.35">
      <c r="A93" t="s">
        <v>245</v>
      </c>
    </row>
    <row r="94" spans="1:1" x14ac:dyDescent="0.35">
      <c r="A94" t="s">
        <v>104</v>
      </c>
    </row>
    <row r="95" spans="1:1" x14ac:dyDescent="0.35">
      <c r="A95" t="s">
        <v>246</v>
      </c>
    </row>
    <row r="96" spans="1:1" x14ac:dyDescent="0.35">
      <c r="A96" t="s">
        <v>247</v>
      </c>
    </row>
    <row r="97" spans="1:1" x14ac:dyDescent="0.35">
      <c r="A97" t="s">
        <v>248</v>
      </c>
    </row>
    <row r="98" spans="1:1" x14ac:dyDescent="0.35">
      <c r="A98" t="s">
        <v>249</v>
      </c>
    </row>
    <row r="99" spans="1:1" x14ac:dyDescent="0.35">
      <c r="A99" t="s">
        <v>250</v>
      </c>
    </row>
    <row r="100" spans="1:1" x14ac:dyDescent="0.35">
      <c r="A100" t="s">
        <v>107</v>
      </c>
    </row>
    <row r="101" spans="1:1" x14ac:dyDescent="0.35">
      <c r="A101" t="s">
        <v>251</v>
      </c>
    </row>
    <row r="102" spans="1:1" x14ac:dyDescent="0.35">
      <c r="A102" t="s">
        <v>252</v>
      </c>
    </row>
    <row r="103" spans="1:1" x14ac:dyDescent="0.35">
      <c r="A103" t="s">
        <v>253</v>
      </c>
    </row>
    <row r="104" spans="1:1" x14ac:dyDescent="0.35">
      <c r="A104" t="s">
        <v>254</v>
      </c>
    </row>
    <row r="105" spans="1:1" x14ac:dyDescent="0.35">
      <c r="A105" t="s">
        <v>107</v>
      </c>
    </row>
    <row r="106" spans="1:1" x14ac:dyDescent="0.35">
      <c r="A106" t="s">
        <v>105</v>
      </c>
    </row>
    <row r="108" spans="1:1" x14ac:dyDescent="0.35">
      <c r="A108" t="s">
        <v>255</v>
      </c>
    </row>
    <row r="109" spans="1:1" x14ac:dyDescent="0.35">
      <c r="A109" t="s">
        <v>106</v>
      </c>
    </row>
    <row r="110" spans="1:1" x14ac:dyDescent="0.35">
      <c r="A110" t="s">
        <v>256</v>
      </c>
    </row>
    <row r="111" spans="1:1" x14ac:dyDescent="0.35">
      <c r="A111" t="s">
        <v>251</v>
      </c>
    </row>
    <row r="112" spans="1:1" x14ac:dyDescent="0.35">
      <c r="A112" t="s">
        <v>252</v>
      </c>
    </row>
    <row r="113" spans="1:1" x14ac:dyDescent="0.35">
      <c r="A113" t="s">
        <v>257</v>
      </c>
    </row>
    <row r="114" spans="1:1" x14ac:dyDescent="0.35">
      <c r="A114" t="s">
        <v>254</v>
      </c>
    </row>
    <row r="115" spans="1:1" x14ac:dyDescent="0.35">
      <c r="A115" t="s">
        <v>107</v>
      </c>
    </row>
    <row r="116" spans="1:1" x14ac:dyDescent="0.35">
      <c r="A116" t="s">
        <v>105</v>
      </c>
    </row>
    <row r="117" spans="1:1" x14ac:dyDescent="0.35">
      <c r="A117" t="s">
        <v>258</v>
      </c>
    </row>
    <row r="118" spans="1:1" x14ac:dyDescent="0.35">
      <c r="A118" t="s">
        <v>259</v>
      </c>
    </row>
    <row r="119" spans="1:1" x14ac:dyDescent="0.35">
      <c r="A119" t="s">
        <v>106</v>
      </c>
    </row>
    <row r="120" spans="1:1" x14ac:dyDescent="0.35">
      <c r="A120" t="s">
        <v>251</v>
      </c>
    </row>
    <row r="121" spans="1:1" x14ac:dyDescent="0.35">
      <c r="A121" t="s">
        <v>252</v>
      </c>
    </row>
    <row r="122" spans="1:1" x14ac:dyDescent="0.35">
      <c r="A122" t="s">
        <v>260</v>
      </c>
    </row>
    <row r="123" spans="1:1" x14ac:dyDescent="0.35">
      <c r="A123" t="s">
        <v>254</v>
      </c>
    </row>
    <row r="124" spans="1:1" x14ac:dyDescent="0.35">
      <c r="A124" t="s">
        <v>107</v>
      </c>
    </row>
    <row r="125" spans="1:1" x14ac:dyDescent="0.35">
      <c r="A125" t="s">
        <v>105</v>
      </c>
    </row>
    <row r="126" spans="1:1" x14ac:dyDescent="0.35">
      <c r="A126" t="s">
        <v>261</v>
      </c>
    </row>
    <row r="127" spans="1:1" x14ac:dyDescent="0.35">
      <c r="A127" t="s">
        <v>106</v>
      </c>
    </row>
    <row r="128" spans="1:1" x14ac:dyDescent="0.35">
      <c r="A128" t="s">
        <v>251</v>
      </c>
    </row>
    <row r="129" spans="1:1" x14ac:dyDescent="0.35">
      <c r="A129" t="s">
        <v>262</v>
      </c>
    </row>
    <row r="130" spans="1:1" x14ac:dyDescent="0.35">
      <c r="A130" t="s">
        <v>107</v>
      </c>
    </row>
    <row r="131" spans="1:1" x14ac:dyDescent="0.35">
      <c r="A131" t="s">
        <v>105</v>
      </c>
    </row>
    <row r="132" spans="1:1" x14ac:dyDescent="0.35">
      <c r="A132" t="s">
        <v>263</v>
      </c>
    </row>
    <row r="133" spans="1:1" x14ac:dyDescent="0.35">
      <c r="A133" t="s">
        <v>106</v>
      </c>
    </row>
    <row r="134" spans="1:1" x14ac:dyDescent="0.35">
      <c r="A134" t="s">
        <v>264</v>
      </c>
    </row>
    <row r="135" spans="1:1" x14ac:dyDescent="0.35">
      <c r="A135" t="s">
        <v>265</v>
      </c>
    </row>
    <row r="136" spans="1:1" x14ac:dyDescent="0.35">
      <c r="A136" t="s">
        <v>107</v>
      </c>
    </row>
    <row r="137" spans="1:1" x14ac:dyDescent="0.35">
      <c r="A137" t="s">
        <v>105</v>
      </c>
    </row>
    <row r="139" spans="1:1" x14ac:dyDescent="0.35">
      <c r="A139" t="s">
        <v>266</v>
      </c>
    </row>
    <row r="140" spans="1:1" x14ac:dyDescent="0.35">
      <c r="A140" t="s">
        <v>267</v>
      </c>
    </row>
    <row r="141" spans="1:1" x14ac:dyDescent="0.35">
      <c r="A141" t="s">
        <v>268</v>
      </c>
    </row>
    <row r="142" spans="1:1" x14ac:dyDescent="0.35">
      <c r="A142" t="s">
        <v>269</v>
      </c>
    </row>
    <row r="143" spans="1:1" x14ac:dyDescent="0.35">
      <c r="A143" t="s">
        <v>270</v>
      </c>
    </row>
    <row r="144" spans="1:1" x14ac:dyDescent="0.35">
      <c r="A144" t="s">
        <v>271</v>
      </c>
    </row>
    <row r="145" spans="1:1" x14ac:dyDescent="0.35">
      <c r="A145" t="s">
        <v>272</v>
      </c>
    </row>
    <row r="146" spans="1:1" x14ac:dyDescent="0.35">
      <c r="A146" t="s">
        <v>273</v>
      </c>
    </row>
    <row r="147" spans="1:1" x14ac:dyDescent="0.35">
      <c r="A147" t="s">
        <v>274</v>
      </c>
    </row>
    <row r="148" spans="1:1" x14ac:dyDescent="0.35">
      <c r="A148" t="s">
        <v>275</v>
      </c>
    </row>
    <row r="149" spans="1:1" x14ac:dyDescent="0.35">
      <c r="A149" t="s">
        <v>107</v>
      </c>
    </row>
    <row r="150" spans="1:1" x14ac:dyDescent="0.35">
      <c r="A150" t="s">
        <v>105</v>
      </c>
    </row>
    <row r="152" spans="1:1" x14ac:dyDescent="0.35">
      <c r="A152" t="s">
        <v>276</v>
      </c>
    </row>
    <row r="153" spans="1:1" x14ac:dyDescent="0.35">
      <c r="A153" t="s">
        <v>277</v>
      </c>
    </row>
    <row r="154" spans="1:1" x14ac:dyDescent="0.35">
      <c r="A154" t="s">
        <v>278</v>
      </c>
    </row>
    <row r="155" spans="1:1" x14ac:dyDescent="0.35">
      <c r="A155" t="s">
        <v>279</v>
      </c>
    </row>
    <row r="156" spans="1:1" x14ac:dyDescent="0.35">
      <c r="A156" t="s">
        <v>280</v>
      </c>
    </row>
    <row r="157" spans="1:1" x14ac:dyDescent="0.35">
      <c r="A157" t="s">
        <v>281</v>
      </c>
    </row>
    <row r="158" spans="1:1" x14ac:dyDescent="0.35">
      <c r="A158" t="s">
        <v>282</v>
      </c>
    </row>
    <row r="159" spans="1:1" x14ac:dyDescent="0.35">
      <c r="A159" t="s">
        <v>283</v>
      </c>
    </row>
    <row r="160" spans="1:1" x14ac:dyDescent="0.35">
      <c r="A160" t="s">
        <v>284</v>
      </c>
    </row>
    <row r="161" spans="1:1" x14ac:dyDescent="0.35">
      <c r="A161" t="s">
        <v>285</v>
      </c>
    </row>
    <row r="162" spans="1:1" x14ac:dyDescent="0.35">
      <c r="A162" t="s">
        <v>286</v>
      </c>
    </row>
    <row r="163" spans="1:1" x14ac:dyDescent="0.35">
      <c r="A163" t="s">
        <v>254</v>
      </c>
    </row>
    <row r="164" spans="1:1" x14ac:dyDescent="0.35">
      <c r="A164" t="s">
        <v>107</v>
      </c>
    </row>
    <row r="165" spans="1:1" x14ac:dyDescent="0.35">
      <c r="A165" t="s">
        <v>287</v>
      </c>
    </row>
    <row r="166" spans="1:1" x14ac:dyDescent="0.35">
      <c r="A166" t="s">
        <v>288</v>
      </c>
    </row>
    <row r="167" spans="1:1" x14ac:dyDescent="0.35">
      <c r="A167" t="s">
        <v>105</v>
      </c>
    </row>
    <row r="168" spans="1:1" x14ac:dyDescent="0.35">
      <c r="A168" t="s">
        <v>289</v>
      </c>
    </row>
    <row r="169" spans="1:1" x14ac:dyDescent="0.35">
      <c r="A169" t="s">
        <v>290</v>
      </c>
    </row>
    <row r="170" spans="1:1" x14ac:dyDescent="0.35">
      <c r="A170" t="s">
        <v>291</v>
      </c>
    </row>
    <row r="171" spans="1:1" x14ac:dyDescent="0.35">
      <c r="A171" t="s">
        <v>292</v>
      </c>
    </row>
    <row r="172" spans="1:1" x14ac:dyDescent="0.35">
      <c r="A172" t="s">
        <v>293</v>
      </c>
    </row>
    <row r="173" spans="1:1" x14ac:dyDescent="0.35">
      <c r="A173" t="s">
        <v>105</v>
      </c>
    </row>
    <row r="174" spans="1:1" x14ac:dyDescent="0.35">
      <c r="A174" t="s">
        <v>294</v>
      </c>
    </row>
    <row r="175" spans="1:1" x14ac:dyDescent="0.35">
      <c r="A175" t="s">
        <v>290</v>
      </c>
    </row>
    <row r="176" spans="1:1" x14ac:dyDescent="0.35">
      <c r="A176" t="s">
        <v>295</v>
      </c>
    </row>
    <row r="177" spans="1:1" x14ac:dyDescent="0.35">
      <c r="A177" t="s">
        <v>296</v>
      </c>
    </row>
    <row r="178" spans="1:1" x14ac:dyDescent="0.35">
      <c r="A178" t="s">
        <v>297</v>
      </c>
    </row>
    <row r="179" spans="1:1" x14ac:dyDescent="0.35">
      <c r="A179" t="s">
        <v>105</v>
      </c>
    </row>
    <row r="180" spans="1:1" x14ac:dyDescent="0.35">
      <c r="A180" t="s">
        <v>298</v>
      </c>
    </row>
    <row r="181" spans="1:1" x14ac:dyDescent="0.35">
      <c r="A181" t="s">
        <v>299</v>
      </c>
    </row>
    <row r="182" spans="1:1" x14ac:dyDescent="0.35">
      <c r="A182" t="s">
        <v>300</v>
      </c>
    </row>
    <row r="183" spans="1:1" x14ac:dyDescent="0.35">
      <c r="A183" t="s">
        <v>301</v>
      </c>
    </row>
    <row r="184" spans="1:1" x14ac:dyDescent="0.35">
      <c r="A184" t="s">
        <v>302</v>
      </c>
    </row>
    <row r="185" spans="1:1" x14ac:dyDescent="0.35">
      <c r="A185" t="s">
        <v>109</v>
      </c>
    </row>
    <row r="186" spans="1:1" x14ac:dyDescent="0.35">
      <c r="A186" t="s">
        <v>303</v>
      </c>
    </row>
    <row r="187" spans="1:1" x14ac:dyDescent="0.35">
      <c r="A187" t="s">
        <v>304</v>
      </c>
    </row>
    <row r="188" spans="1:1" x14ac:dyDescent="0.35">
      <c r="A188" t="s">
        <v>107</v>
      </c>
    </row>
    <row r="189" spans="1:1" x14ac:dyDescent="0.35">
      <c r="A189" t="s">
        <v>105</v>
      </c>
    </row>
    <row r="191" spans="1:1" x14ac:dyDescent="0.35">
      <c r="A191" t="s">
        <v>305</v>
      </c>
    </row>
    <row r="192" spans="1:1" x14ac:dyDescent="0.35">
      <c r="A192" t="s">
        <v>306</v>
      </c>
    </row>
    <row r="193" spans="1:1" x14ac:dyDescent="0.35">
      <c r="A193" t="s">
        <v>251</v>
      </c>
    </row>
    <row r="194" spans="1:1" x14ac:dyDescent="0.35">
      <c r="A194" t="s">
        <v>252</v>
      </c>
    </row>
    <row r="195" spans="1:1" x14ac:dyDescent="0.35">
      <c r="A195" t="s">
        <v>307</v>
      </c>
    </row>
    <row r="196" spans="1:1" x14ac:dyDescent="0.35">
      <c r="A196" t="s">
        <v>308</v>
      </c>
    </row>
    <row r="197" spans="1:1" x14ac:dyDescent="0.35">
      <c r="A197" t="s">
        <v>309</v>
      </c>
    </row>
    <row r="198" spans="1:1" x14ac:dyDescent="0.35">
      <c r="A198" t="s">
        <v>310</v>
      </c>
    </row>
    <row r="199" spans="1:1" x14ac:dyDescent="0.35">
      <c r="A199" t="s">
        <v>110</v>
      </c>
    </row>
    <row r="200" spans="1:1" x14ac:dyDescent="0.35">
      <c r="A200" t="s">
        <v>311</v>
      </c>
    </row>
    <row r="201" spans="1:1" x14ac:dyDescent="0.35">
      <c r="A201" t="s">
        <v>109</v>
      </c>
    </row>
    <row r="202" spans="1:1" x14ac:dyDescent="0.35">
      <c r="A202" t="s">
        <v>312</v>
      </c>
    </row>
    <row r="203" spans="1:1" x14ac:dyDescent="0.35">
      <c r="A203" t="s">
        <v>313</v>
      </c>
    </row>
    <row r="204" spans="1:1" x14ac:dyDescent="0.35">
      <c r="A204" t="s">
        <v>254</v>
      </c>
    </row>
    <row r="205" spans="1:1" x14ac:dyDescent="0.35">
      <c r="A205" t="s">
        <v>107</v>
      </c>
    </row>
    <row r="206" spans="1:1" x14ac:dyDescent="0.35">
      <c r="A206" t="s">
        <v>105</v>
      </c>
    </row>
    <row r="209" spans="1:1" x14ac:dyDescent="0.35">
      <c r="A209" t="s">
        <v>314</v>
      </c>
    </row>
    <row r="210" spans="1:1" x14ac:dyDescent="0.35">
      <c r="A210" t="s">
        <v>315</v>
      </c>
    </row>
    <row r="211" spans="1:1" x14ac:dyDescent="0.35">
      <c r="A211" t="s">
        <v>316</v>
      </c>
    </row>
    <row r="212" spans="1:1" x14ac:dyDescent="0.35">
      <c r="A212" t="s">
        <v>317</v>
      </c>
    </row>
    <row r="213" spans="1:1" x14ac:dyDescent="0.35">
      <c r="A213" t="s">
        <v>318</v>
      </c>
    </row>
    <row r="214" spans="1:1" x14ac:dyDescent="0.35">
      <c r="A214" t="s">
        <v>319</v>
      </c>
    </row>
    <row r="215" spans="1:1" x14ac:dyDescent="0.35">
      <c r="A215" t="s">
        <v>320</v>
      </c>
    </row>
    <row r="216" spans="1:1" x14ac:dyDescent="0.35">
      <c r="A216" t="s">
        <v>107</v>
      </c>
    </row>
    <row r="217" spans="1:1" x14ac:dyDescent="0.35">
      <c r="A217" t="s">
        <v>105</v>
      </c>
    </row>
    <row r="221" spans="1:1" x14ac:dyDescent="0.35">
      <c r="A221" t="s">
        <v>321</v>
      </c>
    </row>
    <row r="222" spans="1:1" x14ac:dyDescent="0.35">
      <c r="A222" t="s">
        <v>322</v>
      </c>
    </row>
    <row r="223" spans="1:1" x14ac:dyDescent="0.35">
      <c r="A223" t="s">
        <v>323</v>
      </c>
    </row>
    <row r="224" spans="1:1" x14ac:dyDescent="0.35">
      <c r="A224" t="s">
        <v>324</v>
      </c>
    </row>
    <row r="225" spans="1:1" x14ac:dyDescent="0.35">
      <c r="A225" t="s">
        <v>325</v>
      </c>
    </row>
    <row r="226" spans="1:1" x14ac:dyDescent="0.35">
      <c r="A226" t="s">
        <v>326</v>
      </c>
    </row>
    <row r="227" spans="1:1" x14ac:dyDescent="0.35">
      <c r="A227" t="s">
        <v>327</v>
      </c>
    </row>
    <row r="228" spans="1:1" x14ac:dyDescent="0.35">
      <c r="A228" t="s">
        <v>328</v>
      </c>
    </row>
    <row r="229" spans="1:1" x14ac:dyDescent="0.35">
      <c r="A229" t="s">
        <v>322</v>
      </c>
    </row>
    <row r="230" spans="1:1" x14ac:dyDescent="0.35">
      <c r="A230" t="s">
        <v>329</v>
      </c>
    </row>
    <row r="233" spans="1:1" x14ac:dyDescent="0.35">
      <c r="A233" t="s">
        <v>330</v>
      </c>
    </row>
    <row r="234" spans="1:1" x14ac:dyDescent="0.35">
      <c r="A234" t="s">
        <v>322</v>
      </c>
    </row>
    <row r="235" spans="1:1" x14ac:dyDescent="0.35">
      <c r="A235" t="s">
        <v>331</v>
      </c>
    </row>
    <row r="236" spans="1:1" x14ac:dyDescent="0.35">
      <c r="A236" t="s">
        <v>332</v>
      </c>
    </row>
    <row r="237" spans="1:1" x14ac:dyDescent="0.35">
      <c r="A237" t="s">
        <v>333</v>
      </c>
    </row>
    <row r="238" spans="1:1" x14ac:dyDescent="0.35">
      <c r="A238" t="s">
        <v>334</v>
      </c>
    </row>
    <row r="239" spans="1:1" x14ac:dyDescent="0.35">
      <c r="A239" t="s">
        <v>335</v>
      </c>
    </row>
    <row r="240" spans="1:1" x14ac:dyDescent="0.35">
      <c r="A240" t="s">
        <v>336</v>
      </c>
    </row>
    <row r="241" spans="1:1" x14ac:dyDescent="0.35">
      <c r="A241" t="s">
        <v>337</v>
      </c>
    </row>
    <row r="242" spans="1:1" x14ac:dyDescent="0.35">
      <c r="A242" t="s">
        <v>338</v>
      </c>
    </row>
    <row r="243" spans="1:1" x14ac:dyDescent="0.35">
      <c r="A243" t="s">
        <v>339</v>
      </c>
    </row>
    <row r="244" spans="1:1" x14ac:dyDescent="0.35">
      <c r="A244" t="s">
        <v>340</v>
      </c>
    </row>
    <row r="245" spans="1:1" x14ac:dyDescent="0.35">
      <c r="A245" t="s">
        <v>341</v>
      </c>
    </row>
    <row r="246" spans="1:1" x14ac:dyDescent="0.35">
      <c r="A246" t="s">
        <v>342</v>
      </c>
    </row>
    <row r="247" spans="1:1" x14ac:dyDescent="0.35">
      <c r="A247" t="s">
        <v>343</v>
      </c>
    </row>
    <row r="248" spans="1:1" x14ac:dyDescent="0.35">
      <c r="A248" t="s">
        <v>344</v>
      </c>
    </row>
    <row r="249" spans="1:1" x14ac:dyDescent="0.35">
      <c r="A249" t="s">
        <v>345</v>
      </c>
    </row>
    <row r="250" spans="1:1" x14ac:dyDescent="0.35">
      <c r="A250" t="s">
        <v>346</v>
      </c>
    </row>
    <row r="251" spans="1:1" x14ac:dyDescent="0.35">
      <c r="A251" t="s">
        <v>347</v>
      </c>
    </row>
    <row r="252" spans="1:1" x14ac:dyDescent="0.35">
      <c r="A252" t="s">
        <v>348</v>
      </c>
    </row>
    <row r="253" spans="1:1" x14ac:dyDescent="0.35">
      <c r="A253" t="s">
        <v>349</v>
      </c>
    </row>
    <row r="254" spans="1:1" x14ac:dyDescent="0.35">
      <c r="A254" t="s">
        <v>350</v>
      </c>
    </row>
    <row r="255" spans="1:1" x14ac:dyDescent="0.35">
      <c r="A255" t="s">
        <v>351</v>
      </c>
    </row>
    <row r="256" spans="1:1" x14ac:dyDescent="0.35">
      <c r="A256" t="s">
        <v>352</v>
      </c>
    </row>
    <row r="257" spans="1:1" x14ac:dyDescent="0.35">
      <c r="A257" t="s">
        <v>353</v>
      </c>
    </row>
    <row r="258" spans="1:1" x14ac:dyDescent="0.35">
      <c r="A258" t="s">
        <v>354</v>
      </c>
    </row>
    <row r="259" spans="1:1" x14ac:dyDescent="0.35">
      <c r="A259" t="s">
        <v>355</v>
      </c>
    </row>
    <row r="260" spans="1:1" x14ac:dyDescent="0.35">
      <c r="A260" t="s">
        <v>356</v>
      </c>
    </row>
    <row r="261" spans="1:1" x14ac:dyDescent="0.35">
      <c r="A261" t="s">
        <v>357</v>
      </c>
    </row>
    <row r="262" spans="1:1" x14ac:dyDescent="0.35">
      <c r="A262" t="s">
        <v>358</v>
      </c>
    </row>
    <row r="263" spans="1:1" x14ac:dyDescent="0.35">
      <c r="A263" t="s">
        <v>344</v>
      </c>
    </row>
    <row r="264" spans="1:1" x14ac:dyDescent="0.35">
      <c r="A264" t="s">
        <v>359</v>
      </c>
    </row>
    <row r="265" spans="1:1" x14ac:dyDescent="0.35">
      <c r="A265" t="s">
        <v>360</v>
      </c>
    </row>
    <row r="266" spans="1:1" x14ac:dyDescent="0.35">
      <c r="A266" t="s">
        <v>349</v>
      </c>
    </row>
    <row r="267" spans="1:1" x14ac:dyDescent="0.35">
      <c r="A267" t="s">
        <v>361</v>
      </c>
    </row>
    <row r="268" spans="1:1" x14ac:dyDescent="0.35">
      <c r="A268" t="s">
        <v>362</v>
      </c>
    </row>
    <row r="269" spans="1:1" x14ac:dyDescent="0.35">
      <c r="A269" t="s">
        <v>363</v>
      </c>
    </row>
    <row r="270" spans="1:1" x14ac:dyDescent="0.35">
      <c r="A270" t="s">
        <v>355</v>
      </c>
    </row>
    <row r="271" spans="1:1" x14ac:dyDescent="0.35">
      <c r="A271" t="s">
        <v>356</v>
      </c>
    </row>
    <row r="272" spans="1:1" x14ac:dyDescent="0.35">
      <c r="A272" t="s">
        <v>364</v>
      </c>
    </row>
    <row r="273" spans="1:1" x14ac:dyDescent="0.35">
      <c r="A273" t="s">
        <v>365</v>
      </c>
    </row>
    <row r="274" spans="1:1" x14ac:dyDescent="0.35">
      <c r="A274" t="s">
        <v>366</v>
      </c>
    </row>
    <row r="275" spans="1:1" x14ac:dyDescent="0.35">
      <c r="A275" t="s">
        <v>367</v>
      </c>
    </row>
    <row r="276" spans="1:1" x14ac:dyDescent="0.35">
      <c r="A276" t="s">
        <v>368</v>
      </c>
    </row>
    <row r="277" spans="1:1" x14ac:dyDescent="0.35">
      <c r="A277" t="s">
        <v>369</v>
      </c>
    </row>
    <row r="278" spans="1:1" x14ac:dyDescent="0.35">
      <c r="A278" t="s">
        <v>370</v>
      </c>
    </row>
    <row r="279" spans="1:1" x14ac:dyDescent="0.35">
      <c r="A279" t="s">
        <v>371</v>
      </c>
    </row>
    <row r="280" spans="1:1" x14ac:dyDescent="0.35">
      <c r="A280" t="s">
        <v>372</v>
      </c>
    </row>
    <row r="281" spans="1:1" x14ac:dyDescent="0.35">
      <c r="A281" t="s">
        <v>373</v>
      </c>
    </row>
    <row r="282" spans="1:1" x14ac:dyDescent="0.35">
      <c r="A282" t="s">
        <v>374</v>
      </c>
    </row>
    <row r="283" spans="1:1" x14ac:dyDescent="0.35">
      <c r="A283" t="s">
        <v>375</v>
      </c>
    </row>
    <row r="284" spans="1:1" x14ac:dyDescent="0.35">
      <c r="A284" t="s">
        <v>376</v>
      </c>
    </row>
    <row r="285" spans="1:1" x14ac:dyDescent="0.35">
      <c r="A285" t="s">
        <v>377</v>
      </c>
    </row>
    <row r="286" spans="1:1" x14ac:dyDescent="0.35">
      <c r="A286" t="s">
        <v>378</v>
      </c>
    </row>
    <row r="287" spans="1:1" x14ac:dyDescent="0.35">
      <c r="A287" t="s">
        <v>379</v>
      </c>
    </row>
    <row r="288" spans="1:1" x14ac:dyDescent="0.35">
      <c r="A288" t="s">
        <v>380</v>
      </c>
    </row>
    <row r="289" spans="1:1" x14ac:dyDescent="0.35">
      <c r="A289" t="s">
        <v>381</v>
      </c>
    </row>
    <row r="290" spans="1:1" x14ac:dyDescent="0.35">
      <c r="A290" t="s">
        <v>382</v>
      </c>
    </row>
    <row r="291" spans="1:1" x14ac:dyDescent="0.35">
      <c r="A291" t="s">
        <v>383</v>
      </c>
    </row>
    <row r="292" spans="1:1" x14ac:dyDescent="0.35">
      <c r="A292" t="s">
        <v>384</v>
      </c>
    </row>
    <row r="293" spans="1:1" x14ac:dyDescent="0.35">
      <c r="A293" t="s">
        <v>385</v>
      </c>
    </row>
    <row r="294" spans="1:1" x14ac:dyDescent="0.35">
      <c r="A294" t="s">
        <v>386</v>
      </c>
    </row>
    <row r="295" spans="1:1" x14ac:dyDescent="0.35">
      <c r="A295" t="s">
        <v>387</v>
      </c>
    </row>
    <row r="296" spans="1:1" x14ac:dyDescent="0.35">
      <c r="A296" t="s">
        <v>388</v>
      </c>
    </row>
    <row r="297" spans="1:1" x14ac:dyDescent="0.35">
      <c r="A297" t="s">
        <v>389</v>
      </c>
    </row>
    <row r="298" spans="1:1" x14ac:dyDescent="0.35">
      <c r="A298" t="s">
        <v>390</v>
      </c>
    </row>
    <row r="299" spans="1:1" x14ac:dyDescent="0.35">
      <c r="A299" t="s">
        <v>391</v>
      </c>
    </row>
    <row r="300" spans="1:1" x14ac:dyDescent="0.35">
      <c r="A300" t="s">
        <v>392</v>
      </c>
    </row>
    <row r="301" spans="1:1" x14ac:dyDescent="0.35">
      <c r="A301" t="s">
        <v>393</v>
      </c>
    </row>
    <row r="302" spans="1:1" x14ac:dyDescent="0.35">
      <c r="A302" t="s">
        <v>394</v>
      </c>
    </row>
    <row r="303" spans="1:1" x14ac:dyDescent="0.35">
      <c r="A303" t="s">
        <v>357</v>
      </c>
    </row>
    <row r="304" spans="1:1" x14ac:dyDescent="0.35">
      <c r="A304" t="s">
        <v>395</v>
      </c>
    </row>
    <row r="305" spans="1:1" x14ac:dyDescent="0.35">
      <c r="A305" t="s">
        <v>396</v>
      </c>
    </row>
    <row r="306" spans="1:1" x14ac:dyDescent="0.35">
      <c r="A306" t="s">
        <v>397</v>
      </c>
    </row>
    <row r="307" spans="1:1" x14ac:dyDescent="0.35">
      <c r="A307" t="s">
        <v>398</v>
      </c>
    </row>
    <row r="308" spans="1:1" x14ac:dyDescent="0.35">
      <c r="A308" t="s">
        <v>399</v>
      </c>
    </row>
    <row r="309" spans="1:1" x14ac:dyDescent="0.35">
      <c r="A309" t="s">
        <v>400</v>
      </c>
    </row>
    <row r="310" spans="1:1" x14ac:dyDescent="0.35">
      <c r="A310" t="s">
        <v>401</v>
      </c>
    </row>
    <row r="311" spans="1:1" x14ac:dyDescent="0.35">
      <c r="A311" t="s">
        <v>402</v>
      </c>
    </row>
    <row r="312" spans="1:1" x14ac:dyDescent="0.35">
      <c r="A312" t="s">
        <v>403</v>
      </c>
    </row>
    <row r="313" spans="1:1" x14ac:dyDescent="0.35">
      <c r="A313" t="s">
        <v>322</v>
      </c>
    </row>
    <row r="314" spans="1:1" x14ac:dyDescent="0.35">
      <c r="A314" t="s">
        <v>329</v>
      </c>
    </row>
    <row r="315" spans="1:1" x14ac:dyDescent="0.35">
      <c r="A315" t="s">
        <v>404</v>
      </c>
    </row>
    <row r="316" spans="1:1" x14ac:dyDescent="0.35">
      <c r="A316" t="s">
        <v>405</v>
      </c>
    </row>
    <row r="317" spans="1:1" x14ac:dyDescent="0.35">
      <c r="A317" t="s">
        <v>104</v>
      </c>
    </row>
    <row r="318" spans="1:1" x14ac:dyDescent="0.35">
      <c r="A318" t="s">
        <v>406</v>
      </c>
    </row>
    <row r="319" spans="1:1" x14ac:dyDescent="0.35">
      <c r="A319" t="s">
        <v>407</v>
      </c>
    </row>
    <row r="320" spans="1:1" x14ac:dyDescent="0.35">
      <c r="A320" t="s">
        <v>104</v>
      </c>
    </row>
    <row r="322" spans="1:1" x14ac:dyDescent="0.35">
      <c r="A322" t="s">
        <v>408</v>
      </c>
    </row>
    <row r="323" spans="1:1" x14ac:dyDescent="0.35">
      <c r="A323" t="s">
        <v>405</v>
      </c>
    </row>
    <row r="324" spans="1:1" x14ac:dyDescent="0.35">
      <c r="A324" t="s">
        <v>104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1EAC-1BF3-4A90-9FC0-01845F9010A1}">
  <sheetPr codeName="WsSrc">
    <outlinePr summaryRight="0"/>
  </sheetPr>
  <dimension ref="A1:X49"/>
  <sheetViews>
    <sheetView workbookViewId="0">
      <selection activeCell="I1" sqref="I1:I1048576"/>
    </sheetView>
  </sheetViews>
  <sheetFormatPr defaultRowHeight="14.5" outlineLevelCol="1" x14ac:dyDescent="0.35"/>
  <cols>
    <col min="1" max="1" width="5.7265625" bestFit="1" customWidth="1"/>
    <col min="2" max="2" width="6.08984375" bestFit="1" customWidth="1"/>
    <col min="3" max="3" width="5.08984375" bestFit="1" customWidth="1" collapsed="1"/>
    <col min="4" max="4" width="5.453125" hidden="1" customWidth="1" outlineLevel="1"/>
    <col min="5" max="5" width="7.26953125" hidden="1" customWidth="1" outlineLevel="1"/>
    <col min="6" max="6" width="15.6328125" bestFit="1" customWidth="1"/>
    <col min="7" max="7" width="5.90625" bestFit="1" customWidth="1"/>
    <col min="8" max="8" width="7.7265625" bestFit="1" customWidth="1" collapsed="1"/>
    <col min="9" max="9" width="0" hidden="1" customWidth="1" outlineLevel="1"/>
    <col min="10" max="13" width="8.7265625" hidden="1" customWidth="1" outlineLevel="1"/>
    <col min="14" max="14" width="8.7265625" customWidth="1"/>
    <col min="19" max="19" width="20.453125" bestFit="1" customWidth="1"/>
    <col min="28" max="29" width="8.7265625" customWidth="1"/>
  </cols>
  <sheetData>
    <row r="1" spans="1:24" s="9" customFormat="1" x14ac:dyDescent="0.35">
      <c r="A1" s="8" t="s">
        <v>165</v>
      </c>
      <c r="B1" s="8" t="s">
        <v>17</v>
      </c>
      <c r="C1" s="8" t="s">
        <v>2</v>
      </c>
      <c r="D1" s="8" t="s">
        <v>95</v>
      </c>
      <c r="E1" s="8" t="s">
        <v>164</v>
      </c>
      <c r="F1" s="8" t="s">
        <v>76</v>
      </c>
      <c r="G1" s="8" t="s">
        <v>83</v>
      </c>
      <c r="H1" s="8" t="s">
        <v>86</v>
      </c>
      <c r="I1" s="8" t="s">
        <v>161</v>
      </c>
      <c r="J1" s="8" t="s">
        <v>162</v>
      </c>
      <c r="K1" s="8" t="s">
        <v>163</v>
      </c>
      <c r="L1" s="8" t="s">
        <v>12</v>
      </c>
      <c r="M1" s="8" t="s">
        <v>13</v>
      </c>
      <c r="N1" s="8" t="s">
        <v>93</v>
      </c>
      <c r="O1" s="8" t="s">
        <v>92</v>
      </c>
      <c r="P1" s="8" t="s">
        <v>101</v>
      </c>
      <c r="Q1" s="8" t="s">
        <v>102</v>
      </c>
      <c r="R1" s="8" t="s">
        <v>115</v>
      </c>
      <c r="S1" s="5" t="s">
        <v>25</v>
      </c>
      <c r="T1" s="5" t="s">
        <v>69</v>
      </c>
      <c r="U1" s="5" t="s">
        <v>70</v>
      </c>
      <c r="V1" s="5" t="s">
        <v>71</v>
      </c>
      <c r="W1" s="5" t="s">
        <v>72</v>
      </c>
      <c r="X1" s="5" t="s">
        <v>73</v>
      </c>
    </row>
    <row r="2" spans="1:24" s="2" customFormat="1" x14ac:dyDescent="0.35">
      <c r="A2" s="11" t="s">
        <v>10</v>
      </c>
      <c r="B2" s="4">
        <v>1</v>
      </c>
      <c r="C2" s="1" t="str">
        <f>T_Src[Gp]&amp;T_Src[Gseq]</f>
        <v>Inp1</v>
      </c>
      <c r="D2" s="4" t="s">
        <v>87</v>
      </c>
      <c r="E2" s="4">
        <v>1</v>
      </c>
      <c r="F2" s="10" t="str">
        <f>T_Src[Np1]&amp;T_Src[Np2]&amp;T_Src[Np3]&amp;T_Src[N1]&amp;T_Src[N2]</f>
        <v>InpFilSrc</v>
      </c>
      <c r="G2" s="7" t="s">
        <v>94</v>
      </c>
      <c r="H2" s="7" t="s">
        <v>87</v>
      </c>
      <c r="I2" s="7"/>
      <c r="J2" s="3"/>
      <c r="K2" s="3"/>
      <c r="L2" s="4" t="s">
        <v>15</v>
      </c>
      <c r="M2" s="4" t="s">
        <v>0</v>
      </c>
      <c r="N2" s="7"/>
      <c r="O2" s="7"/>
      <c r="P2" s="7"/>
      <c r="Q2" s="7"/>
      <c r="R2" s="7" t="s">
        <v>87</v>
      </c>
      <c r="S2" s="14" t="s">
        <v>77</v>
      </c>
      <c r="T2" s="5"/>
      <c r="U2" s="5"/>
      <c r="V2" s="5"/>
      <c r="W2" s="5"/>
      <c r="X2" s="5"/>
    </row>
    <row r="3" spans="1:24" s="2" customFormat="1" x14ac:dyDescent="0.35">
      <c r="A3" s="11" t="s">
        <v>10</v>
      </c>
      <c r="B3" s="4">
        <v>2</v>
      </c>
      <c r="C3" s="1" t="str">
        <f>T_Src[Gp]&amp;T_Src[Gseq]</f>
        <v>Inp2</v>
      </c>
      <c r="D3" s="4" t="s">
        <v>87</v>
      </c>
      <c r="E3" s="4">
        <v>2</v>
      </c>
      <c r="F3" s="10" t="str">
        <f>T_Src[Np1]&amp;T_Src[Np2]&amp;T_Src[Np3]&amp;T_Src[N1]&amp;T_Src[N2]</f>
        <v>LnkImpSrc</v>
      </c>
      <c r="G3" s="7" t="s">
        <v>94</v>
      </c>
      <c r="H3" s="7" t="s">
        <v>87</v>
      </c>
      <c r="I3" s="3"/>
      <c r="J3" s="3"/>
      <c r="K3" s="3"/>
      <c r="L3" s="4" t="s">
        <v>16</v>
      </c>
      <c r="M3" s="4" t="s">
        <v>0</v>
      </c>
      <c r="N3" s="7"/>
      <c r="O3" s="7"/>
      <c r="P3" s="7"/>
      <c r="Q3" s="7"/>
      <c r="R3" s="7" t="s">
        <v>116</v>
      </c>
      <c r="S3" s="14" t="s">
        <v>77</v>
      </c>
      <c r="T3"/>
      <c r="U3" s="5"/>
      <c r="V3" s="5"/>
      <c r="W3" s="5"/>
      <c r="X3" s="5"/>
    </row>
    <row r="4" spans="1:24" x14ac:dyDescent="0.35">
      <c r="A4" s="11" t="s">
        <v>10</v>
      </c>
      <c r="B4" s="4">
        <v>3</v>
      </c>
      <c r="C4" s="1" t="str">
        <f>T_Src[Gp]&amp;T_Src[Gseq]</f>
        <v>I1</v>
      </c>
      <c r="D4" s="4" t="s">
        <v>3</v>
      </c>
      <c r="E4" s="4">
        <v>1</v>
      </c>
      <c r="F4" s="10" t="str">
        <f>T_Src[Np1]&amp;T_Src[Np2]&amp;T_Src[Np3]&amp;T_Src[N1]&amp;T_Src[N2]</f>
        <v>IInpFil</v>
      </c>
      <c r="G4" s="7" t="s">
        <v>66</v>
      </c>
      <c r="H4" s="7" t="s">
        <v>88</v>
      </c>
      <c r="I4" s="4" t="s">
        <v>3</v>
      </c>
      <c r="J4" s="4"/>
      <c r="K4" s="4"/>
      <c r="L4" s="4" t="s">
        <v>15</v>
      </c>
      <c r="M4" s="4"/>
      <c r="N4" s="7"/>
      <c r="O4" s="7"/>
      <c r="P4" s="7"/>
      <c r="Q4" s="7"/>
      <c r="R4" s="7" t="s">
        <v>117</v>
      </c>
      <c r="S4" s="6" t="s">
        <v>35</v>
      </c>
      <c r="T4" s="18" t="e">
        <f>Stp_InpFilSrc</f>
        <v>#REF!</v>
      </c>
      <c r="U4" s="6"/>
      <c r="V4" s="6"/>
      <c r="W4" s="6"/>
      <c r="X4" s="6"/>
    </row>
    <row r="5" spans="1:24" x14ac:dyDescent="0.35">
      <c r="A5" s="11" t="s">
        <v>10</v>
      </c>
      <c r="B5" s="4">
        <v>4</v>
      </c>
      <c r="C5" s="1" t="str">
        <f>T_Src[Gp]&amp;T_Src[Gseq]</f>
        <v>I2</v>
      </c>
      <c r="D5" s="4" t="s">
        <v>3</v>
      </c>
      <c r="E5" s="4">
        <v>2</v>
      </c>
      <c r="F5" s="10" t="str">
        <f>T_Src[Np1]&amp;T_Src[Np2]&amp;T_Src[Np3]&amp;T_Src[N1]&amp;T_Src[N2]</f>
        <v>ILnkImp</v>
      </c>
      <c r="G5" s="7" t="s">
        <v>66</v>
      </c>
      <c r="H5" s="7" t="s">
        <v>88</v>
      </c>
      <c r="I5" s="4" t="s">
        <v>3</v>
      </c>
      <c r="J5" s="4"/>
      <c r="K5" s="4"/>
      <c r="L5" s="4" t="s">
        <v>16</v>
      </c>
      <c r="M5" s="4"/>
      <c r="N5" s="7"/>
      <c r="O5" s="7"/>
      <c r="P5" s="7"/>
      <c r="Q5" s="7"/>
      <c r="R5" s="7" t="s">
        <v>118</v>
      </c>
      <c r="S5" s="6" t="s">
        <v>26</v>
      </c>
      <c r="T5" s="18" t="e">
        <f>Stp_LnkImpSrc</f>
        <v>#REF!</v>
      </c>
      <c r="U5" s="6"/>
      <c r="V5" s="6"/>
      <c r="W5" s="6"/>
      <c r="X5" s="6"/>
    </row>
    <row r="6" spans="1:24" x14ac:dyDescent="0.35">
      <c r="A6" s="11"/>
      <c r="B6" s="4"/>
      <c r="C6" s="1" t="str">
        <f>T_Src[Gp]&amp;T_Src[Gseq]</f>
        <v>J0</v>
      </c>
      <c r="D6" s="4" t="s">
        <v>4</v>
      </c>
      <c r="E6" s="4">
        <v>0</v>
      </c>
      <c r="F6" s="10" t="str">
        <f>T_Src[Np1]&amp;T_Src[Np2]&amp;T_Src[Np3]&amp;T_Src[N1]&amp;T_Src[N2]</f>
        <v/>
      </c>
      <c r="G6" s="7"/>
      <c r="H6" s="7"/>
      <c r="I6" s="4"/>
      <c r="J6" s="4"/>
      <c r="K6" s="4"/>
      <c r="L6" s="4"/>
      <c r="M6" s="4"/>
      <c r="N6" s="7"/>
      <c r="O6" s="7"/>
      <c r="P6" s="7" t="s">
        <v>167</v>
      </c>
      <c r="Q6" s="20" t="s">
        <v>168</v>
      </c>
      <c r="R6" s="7"/>
      <c r="S6" s="6"/>
      <c r="T6" s="18"/>
      <c r="U6" s="6"/>
      <c r="V6" s="6"/>
      <c r="W6" s="6"/>
      <c r="X6" s="6"/>
    </row>
    <row r="7" spans="1:24" x14ac:dyDescent="0.35">
      <c r="A7" s="11" t="s">
        <v>10</v>
      </c>
      <c r="B7" s="4">
        <v>5</v>
      </c>
      <c r="C7" s="1" t="str">
        <f>T_Src[Gp]&amp;T_Src[Gseq]</f>
        <v>J1</v>
      </c>
      <c r="D7" s="4" t="s">
        <v>4</v>
      </c>
      <c r="E7" s="4">
        <v>1</v>
      </c>
      <c r="F7" s="10" t="str">
        <f>T_Src[Np1]&amp;T_Src[Np2]&amp;T_Src[Np3]&amp;T_Src[N1]&amp;T_Src[N2]</f>
        <v>JStru</v>
      </c>
      <c r="G7" s="7" t="s">
        <v>66</v>
      </c>
      <c r="H7" s="7" t="s">
        <v>88</v>
      </c>
      <c r="I7" s="4" t="s">
        <v>4</v>
      </c>
      <c r="J7" s="4"/>
      <c r="K7" s="4"/>
      <c r="L7" s="4" t="s">
        <v>19</v>
      </c>
      <c r="M7" s="4"/>
      <c r="N7" s="7"/>
      <c r="O7" s="7"/>
      <c r="P7" s="7"/>
      <c r="Q7" s="7"/>
      <c r="R7" s="7" t="s">
        <v>119</v>
      </c>
      <c r="S7" s="6" t="s">
        <v>36</v>
      </c>
      <c r="T7" s="18" t="e">
        <f>Stp_ILnkImp</f>
        <v>#REF!</v>
      </c>
      <c r="U7" s="6"/>
      <c r="V7" s="6"/>
      <c r="W7" s="6"/>
      <c r="X7" s="6"/>
    </row>
    <row r="8" spans="1:24" x14ac:dyDescent="0.35">
      <c r="A8" s="11" t="s">
        <v>10</v>
      </c>
      <c r="B8" s="4">
        <v>6</v>
      </c>
      <c r="C8" s="1" t="str">
        <f>T_Src[Gp]&amp;T_Src[Gseq]</f>
        <v>J2</v>
      </c>
      <c r="D8" s="4" t="s">
        <v>4</v>
      </c>
      <c r="E8" s="4">
        <v>2</v>
      </c>
      <c r="F8" s="10" t="str">
        <f>T_Src[Np1]&amp;T_Src[Np2]&amp;T_Src[Np3]&amp;T_Src[N1]&amp;T_Src[N2]</f>
        <v>JStruF</v>
      </c>
      <c r="G8" s="7" t="s">
        <v>66</v>
      </c>
      <c r="H8" s="7" t="s">
        <v>88</v>
      </c>
      <c r="I8" s="4" t="s">
        <v>4</v>
      </c>
      <c r="J8" s="4"/>
      <c r="K8" s="4"/>
      <c r="L8" s="4" t="s">
        <v>20</v>
      </c>
      <c r="M8" s="4"/>
      <c r="N8" s="7"/>
      <c r="O8" s="7"/>
      <c r="P8" s="7"/>
      <c r="Q8" s="7"/>
      <c r="R8" s="7" t="s">
        <v>120</v>
      </c>
      <c r="S8" s="6" t="s">
        <v>34</v>
      </c>
      <c r="T8" s="18" t="e">
        <f>Stp_ILnkImp</f>
        <v>#REF!</v>
      </c>
      <c r="U8" s="6"/>
      <c r="V8" s="6"/>
      <c r="W8" s="6"/>
      <c r="X8" s="6"/>
    </row>
    <row r="9" spans="1:24" x14ac:dyDescent="0.35">
      <c r="A9" s="11" t="s">
        <v>10</v>
      </c>
      <c r="B9" s="4">
        <v>7</v>
      </c>
      <c r="C9" s="1" t="str">
        <f>T_Src[Gp]&amp;T_Src[Gseq]</f>
        <v>J3</v>
      </c>
      <c r="D9" s="4" t="s">
        <v>4</v>
      </c>
      <c r="E9" s="4">
        <v>3</v>
      </c>
      <c r="F9" s="10" t="str">
        <f>T_Src[Np1]&amp;T_Src[Np2]&amp;T_Src[Np3]&amp;T_Src[N1]&amp;T_Src[N2]</f>
        <v>JFxTbl</v>
      </c>
      <c r="G9" s="7" t="s">
        <v>66</v>
      </c>
      <c r="H9" s="7" t="s">
        <v>88</v>
      </c>
      <c r="I9" s="4" t="s">
        <v>4</v>
      </c>
      <c r="J9" s="4"/>
      <c r="K9" s="4"/>
      <c r="L9" s="4" t="s">
        <v>21</v>
      </c>
      <c r="M9" s="4"/>
      <c r="N9" s="7"/>
      <c r="O9" s="7"/>
      <c r="P9" s="7"/>
      <c r="Q9" s="7"/>
      <c r="R9" s="7" t="s">
        <v>121</v>
      </c>
      <c r="S9" s="6" t="s">
        <v>33</v>
      </c>
      <c r="T9" s="18" t="e">
        <f>Stp_ILnkImp</f>
        <v>#REF!</v>
      </c>
      <c r="U9" s="6"/>
      <c r="V9" s="6"/>
      <c r="W9" s="6"/>
      <c r="X9" s="6"/>
    </row>
    <row r="10" spans="1:24" x14ac:dyDescent="0.35">
      <c r="A10" s="11" t="s">
        <v>10</v>
      </c>
      <c r="B10" s="4">
        <v>8</v>
      </c>
      <c r="C10" s="1" t="str">
        <f>T_Src[Gp]&amp;T_Src[Gseq]</f>
        <v>J4</v>
      </c>
      <c r="D10" s="4" t="s">
        <v>4</v>
      </c>
      <c r="E10" s="4">
        <v>4</v>
      </c>
      <c r="F10" s="10" t="str">
        <f>T_Src[Np1]&amp;T_Src[Np2]&amp;T_Src[Np3]&amp;T_Src[N1]&amp;T_Src[N2]</f>
        <v>JFbTbl</v>
      </c>
      <c r="G10" s="7" t="s">
        <v>66</v>
      </c>
      <c r="H10" s="7" t="s">
        <v>88</v>
      </c>
      <c r="I10" s="4" t="s">
        <v>4</v>
      </c>
      <c r="J10" s="4"/>
      <c r="K10" s="4"/>
      <c r="L10" s="4" t="s">
        <v>22</v>
      </c>
      <c r="M10" s="4"/>
      <c r="N10" s="7"/>
      <c r="O10" s="7"/>
      <c r="P10" s="7"/>
      <c r="Q10" s="7"/>
      <c r="R10" s="7" t="s">
        <v>122</v>
      </c>
      <c r="S10" s="6" t="s">
        <v>32</v>
      </c>
      <c r="T10" s="18" t="e">
        <f>Stp_ILnkImp</f>
        <v>#REF!</v>
      </c>
      <c r="U10" s="6"/>
      <c r="V10" s="6"/>
      <c r="W10" s="6"/>
      <c r="X10" s="6"/>
    </row>
    <row r="11" spans="1:24" x14ac:dyDescent="0.35">
      <c r="A11" s="11" t="s">
        <v>10</v>
      </c>
      <c r="B11" s="4">
        <v>9</v>
      </c>
      <c r="C11" s="1" t="str">
        <f>T_Src[Gp]&amp;T_Src[Gseq]</f>
        <v>J5</v>
      </c>
      <c r="D11" s="4" t="s">
        <v>4</v>
      </c>
      <c r="E11" s="4">
        <v>5</v>
      </c>
      <c r="F11" s="10" t="str">
        <f>T_Src[Np1]&amp;T_Src[Np2]&amp;T_Src[Np3]&amp;T_Src[N1]&amp;T_Src[N2]</f>
        <v>JTblWh</v>
      </c>
      <c r="G11" s="7" t="s">
        <v>66</v>
      </c>
      <c r="H11" s="7" t="s">
        <v>88</v>
      </c>
      <c r="I11" s="4" t="s">
        <v>4</v>
      </c>
      <c r="J11" s="4"/>
      <c r="K11" s="4"/>
      <c r="L11" s="4" t="s">
        <v>23</v>
      </c>
      <c r="M11" s="4"/>
      <c r="N11" s="7"/>
      <c r="O11" s="7"/>
      <c r="P11" s="7"/>
      <c r="Q11" s="7"/>
      <c r="R11" s="7" t="s">
        <v>123</v>
      </c>
      <c r="S11" s="6" t="s">
        <v>37</v>
      </c>
      <c r="T11" s="18" t="e">
        <f>Stp_ILnkImp</f>
        <v>#REF!</v>
      </c>
      <c r="U11" s="6"/>
      <c r="V11" s="6"/>
      <c r="W11" s="6"/>
      <c r="X11" s="6"/>
    </row>
    <row r="12" spans="1:24" x14ac:dyDescent="0.35">
      <c r="A12" s="11" t="s">
        <v>10</v>
      </c>
      <c r="B12" s="4">
        <v>10</v>
      </c>
      <c r="C12" s="1" t="str">
        <f>T_Src[Gp]&amp;T_Src[Gseq]</f>
        <v>T1</v>
      </c>
      <c r="D12" s="4" t="s">
        <v>5</v>
      </c>
      <c r="E12" s="4">
        <v>1</v>
      </c>
      <c r="F12" s="10" t="str">
        <f>T_Src[Np1]&amp;T_Src[Np2]&amp;T_Src[Np3]&amp;T_Src[N1]&amp;T_Src[N2]</f>
        <v>TTbl</v>
      </c>
      <c r="G12" s="7" t="s">
        <v>66</v>
      </c>
      <c r="H12" s="7" t="s">
        <v>88</v>
      </c>
      <c r="I12" s="4" t="s">
        <v>5</v>
      </c>
      <c r="J12" s="4"/>
      <c r="K12" s="4"/>
      <c r="L12" s="4" t="s">
        <v>54</v>
      </c>
      <c r="M12" s="4"/>
      <c r="N12" s="7"/>
      <c r="O12" s="7"/>
      <c r="P12" s="7"/>
      <c r="Q12" s="7"/>
      <c r="R12" s="7" t="s">
        <v>124</v>
      </c>
      <c r="S12" s="6" t="s">
        <v>75</v>
      </c>
      <c r="T12" s="18" t="e">
        <f>Stp_JFxTbl</f>
        <v>#REF!</v>
      </c>
      <c r="U12" s="18" t="e">
        <f>Stp_JFbTbl</f>
        <v>#REF!</v>
      </c>
      <c r="V12" s="6"/>
      <c r="W12" s="6"/>
      <c r="X12" s="6"/>
    </row>
    <row r="13" spans="1:24" x14ac:dyDescent="0.35">
      <c r="A13" s="11" t="s">
        <v>10</v>
      </c>
      <c r="B13" s="4">
        <v>11</v>
      </c>
      <c r="C13" s="1" t="str">
        <f>T_Src[Gp]&amp;T_Src[Gseq]</f>
        <v>T2</v>
      </c>
      <c r="D13" s="4" t="s">
        <v>5</v>
      </c>
      <c r="E13" s="4">
        <v>2</v>
      </c>
      <c r="F13" s="10" t="str">
        <f>T_Src[Np1]&amp;T_Src[Np2]&amp;T_Src[Np3]&amp;T_Src[N1]&amp;T_Src[N2]</f>
        <v>TETblFld</v>
      </c>
      <c r="G13" s="7" t="s">
        <v>66</v>
      </c>
      <c r="H13" s="7" t="s">
        <v>88</v>
      </c>
      <c r="I13" s="4" t="s">
        <v>5</v>
      </c>
      <c r="J13" s="4" t="s">
        <v>8</v>
      </c>
      <c r="K13" s="4"/>
      <c r="L13" s="4" t="s">
        <v>74</v>
      </c>
      <c r="M13" s="4"/>
      <c r="N13" s="7"/>
      <c r="O13" s="7"/>
      <c r="P13" s="7"/>
      <c r="Q13" s="7"/>
      <c r="R13" s="7" t="s">
        <v>125</v>
      </c>
      <c r="S13" s="6" t="s">
        <v>67</v>
      </c>
      <c r="T13" s="18" t="e">
        <f>Stp_TTbl</f>
        <v>#REF!</v>
      </c>
      <c r="U13" s="18" t="e">
        <f>Stp_JStruF</f>
        <v>#REF!</v>
      </c>
      <c r="V13" s="6"/>
      <c r="W13" s="6"/>
      <c r="X13" s="6"/>
    </row>
    <row r="14" spans="1:24" x14ac:dyDescent="0.35">
      <c r="A14" s="11" t="s">
        <v>10</v>
      </c>
      <c r="B14" s="4">
        <v>12</v>
      </c>
      <c r="C14" s="1" t="str">
        <f>T_Src[Gp]&amp;T_Src[Gseq]</f>
        <v>T3</v>
      </c>
      <c r="D14" s="4" t="s">
        <v>5</v>
      </c>
      <c r="E14" s="4">
        <v>3</v>
      </c>
      <c r="F14" s="10" t="str">
        <f>T_Src[Np1]&amp;T_Src[Np2]&amp;T_Src[Np3]&amp;T_Src[N1]&amp;T_Src[N2]</f>
        <v>TATblFld</v>
      </c>
      <c r="G14" s="7" t="s">
        <v>66</v>
      </c>
      <c r="H14" s="7" t="s">
        <v>88</v>
      </c>
      <c r="I14" s="4" t="s">
        <v>5</v>
      </c>
      <c r="J14" s="4" t="s">
        <v>7</v>
      </c>
      <c r="K14" s="4"/>
      <c r="L14" s="4" t="s">
        <v>74</v>
      </c>
      <c r="M14" s="4"/>
      <c r="N14" s="7"/>
      <c r="O14" s="7"/>
      <c r="P14" s="7"/>
      <c r="Q14" s="7"/>
      <c r="R14" s="7" t="s">
        <v>126</v>
      </c>
      <c r="S14" s="6" t="s">
        <v>68</v>
      </c>
      <c r="T14" s="18" t="e">
        <f>Stp_TTbl</f>
        <v>#REF!</v>
      </c>
      <c r="U14" s="6"/>
      <c r="V14" s="6"/>
      <c r="W14" s="6"/>
      <c r="X14" s="6"/>
    </row>
    <row r="15" spans="1:24" x14ac:dyDescent="0.35">
      <c r="A15" s="11" t="s">
        <v>10</v>
      </c>
      <c r="B15" s="4">
        <v>13</v>
      </c>
      <c r="C15" s="1" t="str">
        <f>T_Src[Gp]&amp;T_Src[Gseq]</f>
        <v>OU1</v>
      </c>
      <c r="D15" s="4" t="s">
        <v>96</v>
      </c>
      <c r="E15" s="4">
        <v>1</v>
      </c>
      <c r="F15" s="10" t="str">
        <f>T_Src[Np1]&amp;T_Src[Np2]&amp;T_Src[Np3]&amp;T_Src[N1]&amp;T_Src[N2]</f>
        <v>EU_FfnNFnd</v>
      </c>
      <c r="G15" s="7" t="s">
        <v>66</v>
      </c>
      <c r="H15" s="7" t="s">
        <v>88</v>
      </c>
      <c r="I15" s="4" t="s">
        <v>8</v>
      </c>
      <c r="J15" s="4" t="s">
        <v>9</v>
      </c>
      <c r="K15" s="4" t="s">
        <v>24</v>
      </c>
      <c r="L15" s="4" t="s">
        <v>27</v>
      </c>
      <c r="M15" s="4" t="s">
        <v>28</v>
      </c>
      <c r="N15" s="7"/>
      <c r="O15" s="7"/>
      <c r="P15" s="7"/>
      <c r="Q15" s="7"/>
      <c r="R15" s="7" t="s">
        <v>127</v>
      </c>
      <c r="S15" s="6" t="s">
        <v>38</v>
      </c>
      <c r="T15" s="18" t="e">
        <f>Stp_JFxTbl</f>
        <v>#REF!</v>
      </c>
      <c r="U15" s="18" t="e">
        <f>Stp_IInpFil</f>
        <v>#REF!</v>
      </c>
      <c r="V15" s="6"/>
      <c r="W15" s="6"/>
      <c r="X15" s="6"/>
    </row>
    <row r="16" spans="1:24" x14ac:dyDescent="0.35">
      <c r="A16" s="11" t="s">
        <v>10</v>
      </c>
      <c r="B16" s="4">
        <v>14</v>
      </c>
      <c r="C16" s="1" t="str">
        <f>T_Src[Gp]&amp;T_Src[Gseq]</f>
        <v>OU2</v>
      </c>
      <c r="D16" s="4" t="s">
        <v>96</v>
      </c>
      <c r="E16" s="4">
        <v>2</v>
      </c>
      <c r="F16" s="10" t="str">
        <f>T_Src[Np1]&amp;T_Src[Np2]&amp;T_Src[Np3]&amp;T_Src[N1]&amp;T_Src[N2]</f>
        <v>EU_FbtNFnd</v>
      </c>
      <c r="G16" s="7" t="s">
        <v>66</v>
      </c>
      <c r="H16" s="7" t="s">
        <v>88</v>
      </c>
      <c r="I16" s="4" t="s">
        <v>8</v>
      </c>
      <c r="J16" s="4" t="s">
        <v>9</v>
      </c>
      <c r="K16" s="4" t="s">
        <v>24</v>
      </c>
      <c r="L16" s="4" t="s">
        <v>29</v>
      </c>
      <c r="M16" s="4" t="s">
        <v>28</v>
      </c>
      <c r="N16" s="7"/>
      <c r="O16" s="7"/>
      <c r="P16" s="7"/>
      <c r="Q16" s="7"/>
      <c r="R16" s="7" t="s">
        <v>128</v>
      </c>
      <c r="S16" s="6" t="s">
        <v>39</v>
      </c>
      <c r="T16" s="18" t="e">
        <f>Stp_JFxTbl</f>
        <v>#REF!</v>
      </c>
      <c r="U16" s="18" t="e">
        <f>Stp_IInpFil</f>
        <v>#REF!</v>
      </c>
      <c r="V16" s="6"/>
      <c r="W16" s="6"/>
      <c r="X16" s="6"/>
    </row>
    <row r="17" spans="1:24" x14ac:dyDescent="0.35">
      <c r="A17" s="11" t="s">
        <v>10</v>
      </c>
      <c r="B17" s="4">
        <v>15</v>
      </c>
      <c r="C17" s="1" t="str">
        <f>T_Src[Gp]&amp;T_Src[Gseq]</f>
        <v>OU3</v>
      </c>
      <c r="D17" s="4" t="s">
        <v>96</v>
      </c>
      <c r="E17" s="4">
        <v>3</v>
      </c>
      <c r="F17" s="10" t="str">
        <f>T_Src[Np1]&amp;T_Src[Np2]&amp;T_Src[Np3]&amp;T_Src[N1]&amp;T_Src[N2]</f>
        <v>EU_WsnNFnd</v>
      </c>
      <c r="G17" s="7" t="s">
        <v>66</v>
      </c>
      <c r="H17" s="7" t="s">
        <v>88</v>
      </c>
      <c r="I17" s="4" t="s">
        <v>8</v>
      </c>
      <c r="J17" s="4" t="s">
        <v>9</v>
      </c>
      <c r="K17" s="4" t="s">
        <v>24</v>
      </c>
      <c r="L17" s="4" t="s">
        <v>30</v>
      </c>
      <c r="M17" s="4" t="s">
        <v>28</v>
      </c>
      <c r="N17" s="7"/>
      <c r="O17" s="7"/>
      <c r="P17" s="7"/>
      <c r="Q17" s="7"/>
      <c r="R17" s="7" t="s">
        <v>129</v>
      </c>
      <c r="S17" s="6" t="s">
        <v>40</v>
      </c>
      <c r="T17" s="18" t="e">
        <f>Stp_TTbl</f>
        <v>#REF!</v>
      </c>
      <c r="U17" s="18" t="e">
        <f>Stp_IInpFil</f>
        <v>#REF!</v>
      </c>
      <c r="V17" s="6"/>
      <c r="W17" s="6"/>
      <c r="X17" s="6"/>
    </row>
    <row r="18" spans="1:24" x14ac:dyDescent="0.35">
      <c r="A18" s="11" t="s">
        <v>10</v>
      </c>
      <c r="B18" s="4">
        <v>16</v>
      </c>
      <c r="C18" s="1" t="str">
        <f>T_Src[Gp]&amp;T_Src[Gseq]</f>
        <v>OU4</v>
      </c>
      <c r="D18" s="4" t="s">
        <v>96</v>
      </c>
      <c r="E18" s="4">
        <v>4</v>
      </c>
      <c r="F18" s="10" t="str">
        <f>T_Src[Np1]&amp;T_Src[Np2]&amp;T_Src[Np3]&amp;T_Src[N1]&amp;T_Src[N2]</f>
        <v>EU_FxExtnNFnd</v>
      </c>
      <c r="G18" s="7" t="s">
        <v>66</v>
      </c>
      <c r="H18" s="7" t="s">
        <v>88</v>
      </c>
      <c r="I18" s="4" t="s">
        <v>8</v>
      </c>
      <c r="J18" s="4" t="s">
        <v>9</v>
      </c>
      <c r="K18" s="4" t="s">
        <v>24</v>
      </c>
      <c r="L18" s="4" t="s">
        <v>31</v>
      </c>
      <c r="M18" s="4" t="s">
        <v>28</v>
      </c>
      <c r="N18" s="7"/>
      <c r="O18" s="7"/>
      <c r="P18" s="7"/>
      <c r="Q18" s="7"/>
      <c r="R18" s="7" t="s">
        <v>130</v>
      </c>
      <c r="S18" s="6" t="s">
        <v>41</v>
      </c>
      <c r="T18" s="18" t="e">
        <f>Stp_TETblFld</f>
        <v>#REF!</v>
      </c>
      <c r="U18" s="18" t="e">
        <f>Stp_IInpFil</f>
        <v>#REF!</v>
      </c>
      <c r="V18" s="6"/>
      <c r="W18" s="6"/>
      <c r="X18" s="6"/>
    </row>
    <row r="19" spans="1:24" x14ac:dyDescent="0.35">
      <c r="A19" s="11" t="s">
        <v>10</v>
      </c>
      <c r="B19" s="4">
        <v>17</v>
      </c>
      <c r="C19" s="1" t="str">
        <f>T_Src[Gp]&amp;T_Src[Gseq]</f>
        <v>OU5</v>
      </c>
      <c r="D19" s="4" t="s">
        <v>96</v>
      </c>
      <c r="E19" s="4">
        <v>5</v>
      </c>
      <c r="F19" s="10" t="str">
        <f>T_Src[Np1]&amp;T_Src[Np2]&amp;T_Src[Np3]&amp;T_Src[N1]&amp;T_Src[N2]</f>
        <v>EU_FxFldTyNMch</v>
      </c>
      <c r="G19" s="7" t="s">
        <v>66</v>
      </c>
      <c r="H19" s="7" t="s">
        <v>88</v>
      </c>
      <c r="I19" s="4" t="s">
        <v>8</v>
      </c>
      <c r="J19" s="4" t="s">
        <v>9</v>
      </c>
      <c r="K19" s="4" t="s">
        <v>24</v>
      </c>
      <c r="L19" s="4" t="s">
        <v>62</v>
      </c>
      <c r="M19" s="4" t="s">
        <v>65</v>
      </c>
      <c r="N19" s="7"/>
      <c r="O19" s="7"/>
      <c r="P19" s="7"/>
      <c r="Q19" s="7"/>
      <c r="R19" s="7" t="s">
        <v>131</v>
      </c>
      <c r="S19" s="6" t="s">
        <v>42</v>
      </c>
      <c r="T19" s="6"/>
      <c r="U19" s="18" t="e">
        <f>Stp_IInpFil</f>
        <v>#REF!</v>
      </c>
      <c r="V19" s="6"/>
      <c r="W19" s="6"/>
      <c r="X19" s="6"/>
    </row>
    <row r="20" spans="1:24" x14ac:dyDescent="0.35">
      <c r="A20" s="11" t="s">
        <v>10</v>
      </c>
      <c r="B20" s="4">
        <v>18</v>
      </c>
      <c r="C20" s="1" t="str">
        <f>T_Src[Gp]&amp;T_Src[Gseq]</f>
        <v>OU6</v>
      </c>
      <c r="D20" s="4" t="s">
        <v>96</v>
      </c>
      <c r="E20" s="4">
        <v>6</v>
      </c>
      <c r="F20" s="10" t="str">
        <f>T_Src[Np1]&amp;T_Src[Np2]&amp;T_Src[Np3]&amp;T_Src[N1]&amp;T_Src[N2]</f>
        <v>EU_All</v>
      </c>
      <c r="G20" s="7" t="s">
        <v>66</v>
      </c>
      <c r="H20" s="7" t="s">
        <v>88</v>
      </c>
      <c r="I20" s="4" t="s">
        <v>8</v>
      </c>
      <c r="J20" s="4" t="s">
        <v>9</v>
      </c>
      <c r="K20" s="4" t="s">
        <v>24</v>
      </c>
      <c r="L20" s="4" t="s">
        <v>78</v>
      </c>
      <c r="M20" s="4"/>
      <c r="N20" s="7"/>
      <c r="O20" s="7"/>
      <c r="P20" s="7"/>
      <c r="Q20" s="7"/>
      <c r="R20" s="7" t="s">
        <v>132</v>
      </c>
      <c r="S20" s="6" t="s">
        <v>79</v>
      </c>
      <c r="T20" s="18" t="e">
        <f>Stp_OU_FfnNFnd</f>
        <v>#REF!</v>
      </c>
      <c r="U20" s="18" t="e">
        <f>Stp_OU_FbtNFnd</f>
        <v>#REF!</v>
      </c>
      <c r="V20" s="18" t="e">
        <f>Stp_OU_WsnNFnd</f>
        <v>#REF!</v>
      </c>
      <c r="W20" s="18" t="e">
        <f>Stp_OU_FxExtnNFnd</f>
        <v>#REF!</v>
      </c>
      <c r="X20" s="18" t="e">
        <f>Stp_OU_FxFldTyNMch</f>
        <v>#REF!</v>
      </c>
    </row>
    <row r="21" spans="1:24" x14ac:dyDescent="0.35">
      <c r="A21" s="11" t="s">
        <v>10</v>
      </c>
      <c r="B21" s="4">
        <v>18.5</v>
      </c>
      <c r="C21" s="1" t="str">
        <f>T_Src[Gp]&amp;T_Src[Gseq]</f>
        <v>OU7</v>
      </c>
      <c r="D21" s="4" t="s">
        <v>96</v>
      </c>
      <c r="E21" s="4">
        <v>7</v>
      </c>
      <c r="F21" s="10" t="str">
        <f>T_Src[Np1]&amp;T_Src[Np2]&amp;T_Src[Np3]&amp;T_Src[N1]&amp;T_Src[N2]</f>
        <v>EU_ThwIfEr</v>
      </c>
      <c r="G21" s="7" t="s">
        <v>66</v>
      </c>
      <c r="H21" s="7" t="s">
        <v>89</v>
      </c>
      <c r="I21" s="4" t="s">
        <v>8</v>
      </c>
      <c r="J21" s="4" t="s">
        <v>9</v>
      </c>
      <c r="K21" s="4" t="s">
        <v>24</v>
      </c>
      <c r="L21" s="4" t="s">
        <v>90</v>
      </c>
      <c r="M21" s="4"/>
      <c r="N21" s="7"/>
      <c r="O21" s="7"/>
      <c r="P21" s="7"/>
      <c r="Q21" s="7"/>
      <c r="R21" s="7" t="s">
        <v>133</v>
      </c>
      <c r="S21" s="6" t="s">
        <v>79</v>
      </c>
      <c r="T21" s="18" t="e">
        <f>Stp_OU_FbtNFnd</f>
        <v>#REF!</v>
      </c>
      <c r="U21" s="18" t="e">
        <f>Stp_OU_WsnNFnd</f>
        <v>#REF!</v>
      </c>
      <c r="V21" s="18" t="e">
        <f>Stp_OU_FxExtnNFnd</f>
        <v>#REF!</v>
      </c>
      <c r="W21" s="18" t="e">
        <f>Stp_OU_FxFldTyNMch</f>
        <v>#REF!</v>
      </c>
      <c r="X21" s="18" t="e">
        <f>Stp_OU_All</f>
        <v>#REF!</v>
      </c>
    </row>
    <row r="22" spans="1:24" x14ac:dyDescent="0.35">
      <c r="A22" s="11" t="s">
        <v>10</v>
      </c>
      <c r="B22" s="4">
        <v>19</v>
      </c>
      <c r="C22" s="1" t="str">
        <f>T_Src[Gp]&amp;T_Src[Gseq]</f>
        <v>OS1</v>
      </c>
      <c r="D22" s="4" t="s">
        <v>97</v>
      </c>
      <c r="E22" s="4">
        <v>1</v>
      </c>
      <c r="F22" s="10" t="str">
        <f>T_Src[Np1]&amp;T_Src[Np2]&amp;T_Src[Np3]&amp;T_Src[N1]&amp;T_Src[N2]</f>
        <v>ES_FldDup</v>
      </c>
      <c r="G22" s="7" t="s">
        <v>66</v>
      </c>
      <c r="H22" s="7" t="s">
        <v>88</v>
      </c>
      <c r="I22" s="4" t="s">
        <v>8</v>
      </c>
      <c r="J22" s="4" t="s">
        <v>53</v>
      </c>
      <c r="K22" s="4" t="s">
        <v>24</v>
      </c>
      <c r="L22" s="4" t="s">
        <v>61</v>
      </c>
      <c r="M22" s="4" t="s">
        <v>57</v>
      </c>
      <c r="N22" s="7"/>
      <c r="O22" s="7"/>
      <c r="P22" s="7"/>
      <c r="Q22" s="7"/>
      <c r="R22" s="7" t="s">
        <v>134</v>
      </c>
      <c r="S22" s="6" t="s">
        <v>43</v>
      </c>
      <c r="T22" s="6"/>
      <c r="U22" s="18" t="e">
        <f t="shared" ref="U22:U28" si="0">Stp_IInpFil</f>
        <v>#REF!</v>
      </c>
      <c r="V22" s="15"/>
      <c r="W22" s="6"/>
      <c r="X22" s="6"/>
    </row>
    <row r="23" spans="1:24" x14ac:dyDescent="0.35">
      <c r="A23" s="11" t="s">
        <v>10</v>
      </c>
      <c r="B23" s="4">
        <v>20</v>
      </c>
      <c r="C23" s="1" t="str">
        <f>T_Src[Gp]&amp;T_Src[Gseq]</f>
        <v>OS2</v>
      </c>
      <c r="D23" s="4" t="s">
        <v>97</v>
      </c>
      <c r="E23" s="4">
        <v>2</v>
      </c>
      <c r="F23" s="10" t="str">
        <f>T_Src[Np1]&amp;T_Src[Np2]&amp;T_Src[Np3]&amp;T_Src[N1]&amp;T_Src[N2]</f>
        <v>ES_StruDup</v>
      </c>
      <c r="G23" s="7" t="s">
        <v>66</v>
      </c>
      <c r="H23" s="7" t="s">
        <v>88</v>
      </c>
      <c r="I23" s="4" t="s">
        <v>8</v>
      </c>
      <c r="J23" s="4" t="s">
        <v>53</v>
      </c>
      <c r="K23" s="4" t="s">
        <v>24</v>
      </c>
      <c r="L23" s="4" t="s">
        <v>19</v>
      </c>
      <c r="M23" s="4" t="s">
        <v>57</v>
      </c>
      <c r="N23" s="7"/>
      <c r="O23" s="7"/>
      <c r="P23" s="7"/>
      <c r="Q23" s="7"/>
      <c r="R23" s="7" t="s">
        <v>135</v>
      </c>
      <c r="S23" s="6" t="s">
        <v>44</v>
      </c>
      <c r="T23" s="18" t="e">
        <f>Stp_JStru</f>
        <v>#REF!</v>
      </c>
      <c r="U23" s="18" t="e">
        <f t="shared" si="0"/>
        <v>#REF!</v>
      </c>
      <c r="V23" s="6"/>
      <c r="W23" s="6"/>
      <c r="X23" s="6"/>
    </row>
    <row r="24" spans="1:24" x14ac:dyDescent="0.35">
      <c r="A24" s="11" t="s">
        <v>10</v>
      </c>
      <c r="B24" s="4">
        <v>21</v>
      </c>
      <c r="C24" s="1" t="str">
        <f>T_Src[Gp]&amp;T_Src[Gseq]</f>
        <v>OS3</v>
      </c>
      <c r="D24" s="4" t="s">
        <v>97</v>
      </c>
      <c r="E24" s="4">
        <v>3</v>
      </c>
      <c r="F24" s="10" t="str">
        <f>T_Src[Np1]&amp;T_Src[Np2]&amp;T_Src[Np3]&amp;T_Src[N1]&amp;T_Src[N2]</f>
        <v>ES_FldTyEr</v>
      </c>
      <c r="G24" s="7" t="s">
        <v>66</v>
      </c>
      <c r="H24" s="7" t="s">
        <v>88</v>
      </c>
      <c r="I24" s="4" t="s">
        <v>8</v>
      </c>
      <c r="J24" s="4" t="s">
        <v>53</v>
      </c>
      <c r="K24" s="4" t="s">
        <v>24</v>
      </c>
      <c r="L24" s="4" t="s">
        <v>64</v>
      </c>
      <c r="M24" s="4" t="s">
        <v>14</v>
      </c>
      <c r="N24" s="7"/>
      <c r="O24" s="7"/>
      <c r="P24" s="7"/>
      <c r="Q24" s="7"/>
      <c r="R24" s="7" t="s">
        <v>136</v>
      </c>
      <c r="S24" s="6" t="s">
        <v>45</v>
      </c>
      <c r="T24" s="6"/>
      <c r="U24" s="18" t="e">
        <f t="shared" si="0"/>
        <v>#REF!</v>
      </c>
      <c r="V24" s="6"/>
      <c r="W24" s="6"/>
      <c r="X24" s="6"/>
    </row>
    <row r="25" spans="1:24" x14ac:dyDescent="0.35">
      <c r="A25" s="11" t="s">
        <v>10</v>
      </c>
      <c r="B25" s="4">
        <v>22</v>
      </c>
      <c r="C25" s="1" t="str">
        <f>T_Src[Gp]&amp;T_Src[Gseq]</f>
        <v>OS4</v>
      </c>
      <c r="D25" s="4" t="s">
        <v>97</v>
      </c>
      <c r="E25" s="4">
        <v>4</v>
      </c>
      <c r="F25" s="10" t="str">
        <f>T_Src[Np1]&amp;T_Src[Np2]&amp;T_Src[Np3]&amp;T_Src[N1]&amp;T_Src[N2]</f>
        <v>ES_StruExcess</v>
      </c>
      <c r="G25" s="7" t="s">
        <v>66</v>
      </c>
      <c r="H25" s="7" t="s">
        <v>88</v>
      </c>
      <c r="I25" s="4" t="s">
        <v>8</v>
      </c>
      <c r="J25" s="4" t="s">
        <v>53</v>
      </c>
      <c r="K25" s="4" t="s">
        <v>24</v>
      </c>
      <c r="L25" s="4" t="s">
        <v>19</v>
      </c>
      <c r="M25" s="4" t="s">
        <v>55</v>
      </c>
      <c r="N25" s="7"/>
      <c r="O25" s="7"/>
      <c r="P25" s="7"/>
      <c r="Q25" s="7"/>
      <c r="R25" s="7" t="s">
        <v>137</v>
      </c>
      <c r="S25" s="6" t="s">
        <v>46</v>
      </c>
      <c r="T25" s="18" t="e">
        <f>Stp_JStru</f>
        <v>#REF!</v>
      </c>
      <c r="U25" s="18" t="e">
        <f t="shared" si="0"/>
        <v>#REF!</v>
      </c>
      <c r="V25" s="6"/>
      <c r="W25" s="6"/>
      <c r="X25" s="6"/>
    </row>
    <row r="26" spans="1:24" x14ac:dyDescent="0.35">
      <c r="A26" s="11" t="s">
        <v>10</v>
      </c>
      <c r="B26" s="4">
        <v>23</v>
      </c>
      <c r="C26" s="1" t="str">
        <f>T_Src[Gp]&amp;T_Src[Gseq]</f>
        <v>OS5</v>
      </c>
      <c r="D26" s="4" t="s">
        <v>97</v>
      </c>
      <c r="E26" s="4">
        <v>5</v>
      </c>
      <c r="F26" s="10" t="str">
        <f>T_Src[Np1]&amp;T_Src[Np2]&amp;T_Src[Np3]&amp;T_Src[N1]&amp;T_Src[N2]</f>
        <v>ES_StruInUse</v>
      </c>
      <c r="G26" s="7" t="s">
        <v>66</v>
      </c>
      <c r="H26" s="7" t="s">
        <v>88</v>
      </c>
      <c r="I26" s="4" t="s">
        <v>8</v>
      </c>
      <c r="J26" s="4" t="s">
        <v>53</v>
      </c>
      <c r="K26" s="4" t="s">
        <v>24</v>
      </c>
      <c r="L26" s="4" t="s">
        <v>19</v>
      </c>
      <c r="M26" s="4" t="s">
        <v>63</v>
      </c>
      <c r="N26" s="7"/>
      <c r="O26" s="7"/>
      <c r="P26" s="7"/>
      <c r="Q26" s="7"/>
      <c r="R26" s="7" t="s">
        <v>138</v>
      </c>
      <c r="S26" s="6" t="s">
        <v>44</v>
      </c>
      <c r="T26" s="18" t="e">
        <f>Stp_JStru</f>
        <v>#REF!</v>
      </c>
      <c r="U26" s="18" t="e">
        <f t="shared" si="0"/>
        <v>#REF!</v>
      </c>
      <c r="V26" s="6"/>
      <c r="W26" s="6"/>
      <c r="X26" s="6"/>
    </row>
    <row r="27" spans="1:24" x14ac:dyDescent="0.35">
      <c r="A27" s="11" t="s">
        <v>10</v>
      </c>
      <c r="B27" s="4">
        <v>24</v>
      </c>
      <c r="C27" s="1" t="str">
        <f>T_Src[Gp]&amp;T_Src[Gseq]</f>
        <v>OS6</v>
      </c>
      <c r="D27" s="4" t="s">
        <v>97</v>
      </c>
      <c r="E27" s="4">
        <v>6</v>
      </c>
      <c r="F27" s="10" t="str">
        <f>T_Src[Np1]&amp;T_Src[Np2]&amp;T_Src[Np3]&amp;T_Src[N1]&amp;T_Src[N2]</f>
        <v>ES_FxFldTyMis</v>
      </c>
      <c r="G27" s="7" t="s">
        <v>66</v>
      </c>
      <c r="H27" s="7" t="s">
        <v>88</v>
      </c>
      <c r="I27" s="4" t="s">
        <v>8</v>
      </c>
      <c r="J27" s="4" t="s">
        <v>53</v>
      </c>
      <c r="K27" s="4" t="s">
        <v>24</v>
      </c>
      <c r="L27" s="4" t="s">
        <v>62</v>
      </c>
      <c r="M27" s="4" t="s">
        <v>58</v>
      </c>
      <c r="N27" s="7"/>
      <c r="O27" s="7"/>
      <c r="P27" s="7"/>
      <c r="Q27" s="7"/>
      <c r="R27" s="7" t="s">
        <v>139</v>
      </c>
      <c r="S27" s="6" t="s">
        <v>47</v>
      </c>
      <c r="T27" s="6"/>
      <c r="U27" s="18" t="e">
        <f t="shared" si="0"/>
        <v>#REF!</v>
      </c>
      <c r="V27" s="6"/>
      <c r="W27" s="6"/>
      <c r="X27" s="6"/>
    </row>
    <row r="28" spans="1:24" x14ac:dyDescent="0.35">
      <c r="A28" s="11" t="s">
        <v>10</v>
      </c>
      <c r="B28" s="4">
        <v>25</v>
      </c>
      <c r="C28" s="1" t="str">
        <f>T_Src[Gp]&amp;T_Src[Gseq]</f>
        <v>OS7</v>
      </c>
      <c r="D28" s="4" t="s">
        <v>97</v>
      </c>
      <c r="E28" s="4">
        <v>7</v>
      </c>
      <c r="F28" s="10" t="str">
        <f>T_Src[Np1]&amp;T_Src[Np2]&amp;T_Src[Np3]&amp;T_Src[N1]&amp;T_Src[N2]</f>
        <v>ES_FldMis</v>
      </c>
      <c r="G28" s="7" t="s">
        <v>66</v>
      </c>
      <c r="H28" s="7" t="s">
        <v>88</v>
      </c>
      <c r="I28" s="4" t="s">
        <v>8</v>
      </c>
      <c r="J28" s="4" t="s">
        <v>53</v>
      </c>
      <c r="K28" s="4" t="s">
        <v>24</v>
      </c>
      <c r="L28" s="4" t="s">
        <v>61</v>
      </c>
      <c r="M28" s="4" t="s">
        <v>58</v>
      </c>
      <c r="N28" s="7"/>
      <c r="O28" s="7"/>
      <c r="P28" s="7"/>
      <c r="Q28" s="7"/>
      <c r="R28" s="7" t="s">
        <v>140</v>
      </c>
      <c r="S28" s="6" t="s">
        <v>46</v>
      </c>
      <c r="T28" s="6"/>
      <c r="U28" s="18" t="e">
        <f t="shared" si="0"/>
        <v>#REF!</v>
      </c>
      <c r="V28" s="6"/>
      <c r="W28" s="6"/>
      <c r="X28" s="6"/>
    </row>
    <row r="29" spans="1:24" x14ac:dyDescent="0.35">
      <c r="A29" s="11" t="s">
        <v>10</v>
      </c>
      <c r="B29" s="4">
        <v>26</v>
      </c>
      <c r="C29" s="1" t="str">
        <f>T_Src[Gp]&amp;T_Src[Gseq]</f>
        <v>OS8</v>
      </c>
      <c r="D29" s="4" t="s">
        <v>97</v>
      </c>
      <c r="E29" s="4">
        <v>8</v>
      </c>
      <c r="F29" s="10" t="str">
        <f>T_Src[Np1]&amp;T_Src[Np2]&amp;T_Src[Np3]&amp;T_Src[N1]&amp;T_Src[N2]</f>
        <v>ES_1</v>
      </c>
      <c r="G29" s="7" t="s">
        <v>66</v>
      </c>
      <c r="H29" s="7" t="s">
        <v>88</v>
      </c>
      <c r="I29" s="4" t="s">
        <v>8</v>
      </c>
      <c r="J29" s="4" t="s">
        <v>53</v>
      </c>
      <c r="K29" s="4" t="s">
        <v>24</v>
      </c>
      <c r="L29" s="4">
        <v>1</v>
      </c>
      <c r="M29" s="4"/>
      <c r="N29" s="7"/>
      <c r="O29" s="7"/>
      <c r="P29" s="7"/>
      <c r="Q29" s="7"/>
      <c r="R29" s="7" t="s">
        <v>141</v>
      </c>
      <c r="S29" s="6" t="s">
        <v>79</v>
      </c>
      <c r="T29" s="18" t="e">
        <f>Stp_OS_FldDup</f>
        <v>#REF!</v>
      </c>
      <c r="U29" s="18" t="e">
        <f>Stp_OS_StruDup</f>
        <v>#REF!</v>
      </c>
      <c r="V29" s="18" t="e">
        <f>Stp_OS_FldTyEr</f>
        <v>#REF!</v>
      </c>
      <c r="W29" s="18" t="e">
        <f>Stp_OS_StruExcess</f>
        <v>#REF!</v>
      </c>
      <c r="X29" s="18" t="e">
        <f>Stp_OS_StruInUse</f>
        <v>#REF!</v>
      </c>
    </row>
    <row r="30" spans="1:24" x14ac:dyDescent="0.35">
      <c r="A30" s="11" t="s">
        <v>10</v>
      </c>
      <c r="B30" s="4">
        <v>27</v>
      </c>
      <c r="C30" s="1" t="str">
        <f>T_Src[Gp]&amp;T_Src[Gseq]</f>
        <v>OS9</v>
      </c>
      <c r="D30" s="4" t="s">
        <v>97</v>
      </c>
      <c r="E30" s="4">
        <v>9</v>
      </c>
      <c r="F30" s="10" t="str">
        <f>T_Src[Np1]&amp;T_Src[Np2]&amp;T_Src[Np3]&amp;T_Src[N1]&amp;T_Src[N2]</f>
        <v>ES_2</v>
      </c>
      <c r="G30" s="7" t="s">
        <v>66</v>
      </c>
      <c r="H30" s="7" t="s">
        <v>88</v>
      </c>
      <c r="I30" s="4" t="s">
        <v>8</v>
      </c>
      <c r="J30" s="4" t="s">
        <v>53</v>
      </c>
      <c r="K30" s="4" t="s">
        <v>24</v>
      </c>
      <c r="L30" s="4">
        <v>2</v>
      </c>
      <c r="M30" s="4"/>
      <c r="N30" s="7"/>
      <c r="O30" s="7"/>
      <c r="P30" s="7"/>
      <c r="Q30" s="7"/>
      <c r="R30" s="7" t="s">
        <v>142</v>
      </c>
      <c r="S30" s="6" t="s">
        <v>79</v>
      </c>
      <c r="T30" s="18" t="e">
        <f>Stp_OS_FxFldTyMis</f>
        <v>#REF!</v>
      </c>
      <c r="U30" s="18" t="e">
        <f>Stp_OS_FldMis</f>
        <v>#REF!</v>
      </c>
      <c r="V30" s="6"/>
      <c r="W30" s="6"/>
      <c r="X30" s="6"/>
    </row>
    <row r="31" spans="1:24" x14ac:dyDescent="0.35">
      <c r="A31" s="11" t="s">
        <v>10</v>
      </c>
      <c r="B31" s="4">
        <v>28</v>
      </c>
      <c r="C31" s="1" t="str">
        <f>T_Src[Gp]&amp;T_Src[Gseq]</f>
        <v>OS10</v>
      </c>
      <c r="D31" s="4" t="s">
        <v>97</v>
      </c>
      <c r="E31" s="4">
        <v>10</v>
      </c>
      <c r="F31" s="10" t="str">
        <f>T_Src[Np1]&amp;T_Src[Np2]&amp;T_Src[Np3]&amp;T_Src[N1]&amp;T_Src[N2]</f>
        <v>ES_All</v>
      </c>
      <c r="G31" s="7" t="s">
        <v>66</v>
      </c>
      <c r="H31" s="7" t="s">
        <v>88</v>
      </c>
      <c r="I31" s="4" t="s">
        <v>8</v>
      </c>
      <c r="J31" s="4" t="s">
        <v>53</v>
      </c>
      <c r="K31" s="4" t="s">
        <v>24</v>
      </c>
      <c r="L31" s="4" t="s">
        <v>78</v>
      </c>
      <c r="M31" s="4"/>
      <c r="N31" s="7"/>
      <c r="O31" s="7"/>
      <c r="P31" s="7"/>
      <c r="Q31" s="7"/>
      <c r="R31" s="7" t="s">
        <v>143</v>
      </c>
      <c r="S31" s="6" t="s">
        <v>79</v>
      </c>
      <c r="T31" s="18" t="e">
        <f>Stp_OS_1</f>
        <v>#REF!</v>
      </c>
      <c r="U31" s="18" t="e">
        <f>Stp_OS_2</f>
        <v>#REF!</v>
      </c>
      <c r="V31" s="6"/>
      <c r="W31" s="6"/>
      <c r="X31" s="6"/>
    </row>
    <row r="32" spans="1:24" x14ac:dyDescent="0.35">
      <c r="A32" s="11" t="s">
        <v>10</v>
      </c>
      <c r="B32" s="4">
        <v>29</v>
      </c>
      <c r="C32" s="1" t="str">
        <f>T_Src[Gp]&amp;T_Src[Gseq]</f>
        <v>OX1</v>
      </c>
      <c r="D32" s="4" t="s">
        <v>98</v>
      </c>
      <c r="E32" s="4">
        <v>1</v>
      </c>
      <c r="F32" s="10" t="str">
        <f>T_Src[Np1]&amp;T_Src[Np2]&amp;T_Src[Np3]&amp;T_Src[N1]&amp;T_Src[N2]</f>
        <v>EX_StruNDef</v>
      </c>
      <c r="G32" s="7" t="s">
        <v>66</v>
      </c>
      <c r="H32" s="7" t="s">
        <v>88</v>
      </c>
      <c r="I32" s="4" t="s">
        <v>8</v>
      </c>
      <c r="J32" s="4" t="s">
        <v>11</v>
      </c>
      <c r="K32" s="4" t="s">
        <v>24</v>
      </c>
      <c r="L32" s="4" t="s">
        <v>19</v>
      </c>
      <c r="M32" s="4" t="s">
        <v>56</v>
      </c>
      <c r="N32" s="7"/>
      <c r="O32" s="7"/>
      <c r="P32" s="7"/>
      <c r="Q32" s="7"/>
      <c r="R32" s="7" t="s">
        <v>144</v>
      </c>
      <c r="S32" s="6" t="s">
        <v>46</v>
      </c>
      <c r="T32" s="18" t="e">
        <f>Stp_JStru</f>
        <v>#REF!</v>
      </c>
      <c r="U32" s="18" t="e">
        <f>Stp_IInpFil</f>
        <v>#REF!</v>
      </c>
      <c r="V32" s="6"/>
      <c r="W32" s="6"/>
      <c r="X32" s="6"/>
    </row>
    <row r="33" spans="1:24" x14ac:dyDescent="0.35">
      <c r="A33" s="11" t="s">
        <v>10</v>
      </c>
      <c r="B33" s="4">
        <v>30</v>
      </c>
      <c r="C33" s="1" t="str">
        <f>T_Src[Gp]&amp;T_Src[Gseq]</f>
        <v>OX2</v>
      </c>
      <c r="D33" s="4" t="s">
        <v>98</v>
      </c>
      <c r="E33" s="4">
        <v>2</v>
      </c>
      <c r="F33" s="10" t="str">
        <f>T_Src[Np1]&amp;T_Src[Np2]&amp;T_Src[Np3]&amp;T_Src[N1]&amp;T_Src[N2]</f>
        <v>EX_FxtDup</v>
      </c>
      <c r="G33" s="7" t="s">
        <v>66</v>
      </c>
      <c r="H33" s="7" t="s">
        <v>88</v>
      </c>
      <c r="I33" s="4" t="s">
        <v>8</v>
      </c>
      <c r="J33" s="4" t="s">
        <v>11</v>
      </c>
      <c r="K33" s="4" t="s">
        <v>24</v>
      </c>
      <c r="L33" s="4" t="s">
        <v>59</v>
      </c>
      <c r="M33" s="4" t="s">
        <v>57</v>
      </c>
      <c r="N33" s="7"/>
      <c r="O33" s="7"/>
      <c r="P33" s="7"/>
      <c r="Q33" s="7"/>
      <c r="R33" s="7" t="s">
        <v>145</v>
      </c>
      <c r="S33" s="6" t="s">
        <v>48</v>
      </c>
      <c r="T33" s="6"/>
      <c r="U33" s="18" t="e">
        <f>Stp_IInpFil</f>
        <v>#REF!</v>
      </c>
      <c r="V33" s="6"/>
      <c r="W33" s="6"/>
      <c r="X33" s="6"/>
    </row>
    <row r="34" spans="1:24" x14ac:dyDescent="0.35">
      <c r="A34" s="11" t="s">
        <v>10</v>
      </c>
      <c r="B34" s="4">
        <v>31</v>
      </c>
      <c r="C34" s="1" t="str">
        <f>T_Src[Gp]&amp;T_Src[Gseq]</f>
        <v>OX3</v>
      </c>
      <c r="D34" s="4" t="s">
        <v>98</v>
      </c>
      <c r="E34" s="4">
        <v>3</v>
      </c>
      <c r="F34" s="10" t="str">
        <f>T_Src[Np1]&amp;T_Src[Np2]&amp;T_Src[Np3]&amp;T_Src[N1]&amp;T_Src[N2]</f>
        <v>EX_FxtNDef</v>
      </c>
      <c r="G34" s="7" t="s">
        <v>66</v>
      </c>
      <c r="H34" s="7" t="s">
        <v>88</v>
      </c>
      <c r="I34" s="4" t="s">
        <v>8</v>
      </c>
      <c r="J34" s="4" t="s">
        <v>11</v>
      </c>
      <c r="K34" s="4" t="s">
        <v>24</v>
      </c>
      <c r="L34" s="4" t="s">
        <v>59</v>
      </c>
      <c r="M34" s="4" t="s">
        <v>56</v>
      </c>
      <c r="N34" s="7"/>
      <c r="O34" s="7"/>
      <c r="P34" s="7"/>
      <c r="Q34" s="7"/>
      <c r="R34" s="7" t="s">
        <v>146</v>
      </c>
      <c r="S34" s="6" t="s">
        <v>49</v>
      </c>
      <c r="T34" s="6"/>
      <c r="U34" s="18" t="e">
        <f>Stp_IInpFil</f>
        <v>#REF!</v>
      </c>
      <c r="V34" s="6"/>
      <c r="W34" s="6"/>
      <c r="X34" s="6"/>
    </row>
    <row r="35" spans="1:24" x14ac:dyDescent="0.35">
      <c r="A35" s="11" t="s">
        <v>10</v>
      </c>
      <c r="B35" s="4">
        <v>32</v>
      </c>
      <c r="C35" s="1" t="str">
        <f>T_Src[Gp]&amp;T_Src[Gseq]</f>
        <v>OX4</v>
      </c>
      <c r="D35" s="4" t="s">
        <v>98</v>
      </c>
      <c r="E35" s="4">
        <v>4</v>
      </c>
      <c r="F35" s="10" t="str">
        <f>T_Src[Np1]&amp;T_Src[Np2]&amp;T_Src[Np3]&amp;T_Src[N1]&amp;T_Src[N2]</f>
        <v>EX_All</v>
      </c>
      <c r="G35" s="7" t="s">
        <v>66</v>
      </c>
      <c r="H35" s="7" t="s">
        <v>88</v>
      </c>
      <c r="I35" s="4" t="s">
        <v>8</v>
      </c>
      <c r="J35" s="4" t="s">
        <v>11</v>
      </c>
      <c r="K35" s="4" t="s">
        <v>24</v>
      </c>
      <c r="L35" s="4" t="s">
        <v>78</v>
      </c>
      <c r="M35" s="4"/>
      <c r="N35" s="7"/>
      <c r="O35" s="7"/>
      <c r="P35" s="7"/>
      <c r="Q35" s="7"/>
      <c r="R35" s="7" t="s">
        <v>147</v>
      </c>
      <c r="S35" s="6" t="s">
        <v>79</v>
      </c>
      <c r="T35" s="18" t="e">
        <f>Stp_JStru</f>
        <v>#REF!</v>
      </c>
      <c r="U35" s="18" t="e">
        <f>Stp_IInpFil</f>
        <v>#REF!</v>
      </c>
      <c r="V35" s="6"/>
      <c r="W35" s="6"/>
      <c r="X35" s="6"/>
    </row>
    <row r="36" spans="1:24" x14ac:dyDescent="0.35">
      <c r="A36" s="11" t="s">
        <v>10</v>
      </c>
      <c r="B36" s="4">
        <v>33</v>
      </c>
      <c r="C36" s="1" t="str">
        <f>T_Src[Gp]&amp;T_Src[Gseq]</f>
        <v>OB1</v>
      </c>
      <c r="D36" s="4" t="s">
        <v>99</v>
      </c>
      <c r="E36" s="4">
        <v>1</v>
      </c>
      <c r="F36" s="10" t="str">
        <f>T_Src[Np1]&amp;T_Src[Np2]&amp;T_Src[Np3]&amp;T_Src[N1]&amp;T_Src[N2]</f>
        <v>EB_StruNDef</v>
      </c>
      <c r="G36" s="7" t="s">
        <v>66</v>
      </c>
      <c r="H36" s="7" t="s">
        <v>88</v>
      </c>
      <c r="I36" s="4" t="s">
        <v>8</v>
      </c>
      <c r="J36" s="4" t="s">
        <v>10</v>
      </c>
      <c r="K36" s="4" t="s">
        <v>24</v>
      </c>
      <c r="L36" s="4" t="s">
        <v>19</v>
      </c>
      <c r="M36" s="4" t="s">
        <v>56</v>
      </c>
      <c r="N36" s="7"/>
      <c r="O36" s="7"/>
      <c r="P36" s="7"/>
      <c r="Q36" s="7"/>
      <c r="R36" s="7" t="s">
        <v>148</v>
      </c>
      <c r="S36" s="6" t="s">
        <v>50</v>
      </c>
      <c r="T36" s="18" t="e">
        <f>Stp_OX_StruNDef</f>
        <v>#REF!</v>
      </c>
      <c r="U36" s="18" t="e">
        <f>Stp_OX_FxtDup</f>
        <v>#REF!</v>
      </c>
      <c r="V36" s="18" t="e">
        <f>Stp_OX_All</f>
        <v>#REF!</v>
      </c>
      <c r="W36" s="6"/>
      <c r="X36" s="6"/>
    </row>
    <row r="37" spans="1:24" x14ac:dyDescent="0.35">
      <c r="A37" s="11" t="s">
        <v>10</v>
      </c>
      <c r="B37" s="4">
        <v>34</v>
      </c>
      <c r="C37" s="1" t="str">
        <f>T_Src[Gp]&amp;T_Src[Gseq]</f>
        <v>OB2</v>
      </c>
      <c r="D37" s="4" t="s">
        <v>99</v>
      </c>
      <c r="E37" s="4">
        <v>2</v>
      </c>
      <c r="F37" s="10" t="str">
        <f>T_Src[Np1]&amp;T_Src[Np2]&amp;T_Src[Np3]&amp;T_Src[N1]&amp;T_Src[N2]</f>
        <v>EB_FbnNDef</v>
      </c>
      <c r="G37" s="7" t="s">
        <v>66</v>
      </c>
      <c r="H37" s="7" t="s">
        <v>88</v>
      </c>
      <c r="I37" s="4" t="s">
        <v>8</v>
      </c>
      <c r="J37" s="4" t="s">
        <v>10</v>
      </c>
      <c r="K37" s="4" t="s">
        <v>24</v>
      </c>
      <c r="L37" s="4" t="s">
        <v>60</v>
      </c>
      <c r="M37" s="4" t="s">
        <v>56</v>
      </c>
      <c r="N37" s="7"/>
      <c r="O37" s="7"/>
      <c r="P37" s="7"/>
      <c r="Q37" s="7"/>
      <c r="R37" s="7" t="s">
        <v>149</v>
      </c>
      <c r="S37" s="6" t="s">
        <v>51</v>
      </c>
      <c r="T37" s="6"/>
      <c r="U37" s="18" t="e">
        <f>Stp_IInpFil</f>
        <v>#REF!</v>
      </c>
      <c r="V37" s="6"/>
      <c r="W37" s="6"/>
      <c r="X37" s="6"/>
    </row>
    <row r="38" spans="1:24" x14ac:dyDescent="0.35">
      <c r="A38" s="11" t="s">
        <v>10</v>
      </c>
      <c r="B38" s="4">
        <v>35</v>
      </c>
      <c r="C38" s="1" t="str">
        <f>T_Src[Gp]&amp;T_Src[Gseq]</f>
        <v>OB3</v>
      </c>
      <c r="D38" s="4" t="s">
        <v>99</v>
      </c>
      <c r="E38" s="4">
        <v>3</v>
      </c>
      <c r="F38" s="10" t="str">
        <f>T_Src[Np1]&amp;T_Src[Np2]&amp;T_Src[Np3]&amp;T_Src[N1]&amp;T_Src[N2]</f>
        <v>EB_FbtMis</v>
      </c>
      <c r="G38" s="7" t="s">
        <v>66</v>
      </c>
      <c r="H38" s="7" t="s">
        <v>88</v>
      </c>
      <c r="I38" s="4" t="s">
        <v>8</v>
      </c>
      <c r="J38" s="4" t="s">
        <v>10</v>
      </c>
      <c r="K38" s="4" t="s">
        <v>24</v>
      </c>
      <c r="L38" s="4" t="s">
        <v>29</v>
      </c>
      <c r="M38" s="4" t="s">
        <v>58</v>
      </c>
      <c r="N38" s="7"/>
      <c r="O38" s="7"/>
      <c r="P38" s="7"/>
      <c r="Q38" s="7"/>
      <c r="R38" s="7" t="s">
        <v>150</v>
      </c>
      <c r="S38" s="6" t="s">
        <v>32</v>
      </c>
      <c r="T38" s="6"/>
      <c r="U38" s="18" t="e">
        <f>Stp_IInpFil</f>
        <v>#REF!</v>
      </c>
      <c r="V38" s="6"/>
      <c r="W38" s="6"/>
      <c r="X38" s="6"/>
    </row>
    <row r="39" spans="1:24" x14ac:dyDescent="0.35">
      <c r="A39" s="11" t="s">
        <v>10</v>
      </c>
      <c r="B39" s="4">
        <v>36</v>
      </c>
      <c r="C39" s="1" t="str">
        <f>T_Src[Gp]&amp;T_Src[Gseq]</f>
        <v>OB4</v>
      </c>
      <c r="D39" s="4" t="s">
        <v>99</v>
      </c>
      <c r="E39" s="4">
        <v>4</v>
      </c>
      <c r="F39" s="10" t="str">
        <f>T_Src[Np1]&amp;T_Src[Np2]&amp;T_Src[Np3]&amp;T_Src[N1]&amp;T_Src[N2]</f>
        <v>ETblFb</v>
      </c>
      <c r="G39" s="7" t="s">
        <v>66</v>
      </c>
      <c r="H39" s="7" t="s">
        <v>88</v>
      </c>
      <c r="I39" s="4" t="s">
        <v>8</v>
      </c>
      <c r="J39" s="4"/>
      <c r="K39" s="4"/>
      <c r="L39" s="4" t="s">
        <v>170</v>
      </c>
      <c r="M39" s="4"/>
      <c r="N39" s="7"/>
      <c r="O39" s="7"/>
      <c r="P39" s="7"/>
      <c r="Q39" s="7"/>
      <c r="R39" s="7" t="s">
        <v>151</v>
      </c>
      <c r="S39" s="6" t="s">
        <v>79</v>
      </c>
      <c r="T39" s="18" t="e">
        <f>Stp_OB_StruNDef</f>
        <v>#REF!</v>
      </c>
      <c r="U39" s="18" t="e">
        <f>Stp_OB_FbnNDef</f>
        <v>#REF!</v>
      </c>
      <c r="V39" s="18" t="e">
        <f>Stp_OB_FbtMis</f>
        <v>#REF!</v>
      </c>
      <c r="W39" s="6"/>
      <c r="X39" s="6"/>
    </row>
    <row r="40" spans="1:24" x14ac:dyDescent="0.35">
      <c r="A40" s="11" t="s">
        <v>10</v>
      </c>
      <c r="B40" s="4">
        <v>37</v>
      </c>
      <c r="C40" s="1" t="str">
        <f>T_Src[Gp]&amp;T_Src[Gseq]</f>
        <v>OB1</v>
      </c>
      <c r="D40" s="4" t="s">
        <v>99</v>
      </c>
      <c r="E40" s="4">
        <v>1</v>
      </c>
      <c r="F40" s="10" t="str">
        <f>T_Src[Np1]&amp;T_Src[Np2]&amp;T_Src[Np3]&amp;T_Src[N1]&amp;T_Src[N2]</f>
        <v>OW_TblDup</v>
      </c>
      <c r="G40" s="7" t="s">
        <v>66</v>
      </c>
      <c r="H40" s="7" t="s">
        <v>88</v>
      </c>
      <c r="I40" s="4" t="s">
        <v>6</v>
      </c>
      <c r="J40" s="4" t="s">
        <v>18</v>
      </c>
      <c r="K40" s="4" t="s">
        <v>24</v>
      </c>
      <c r="L40" s="4" t="s">
        <v>54</v>
      </c>
      <c r="M40" s="4" t="s">
        <v>57</v>
      </c>
      <c r="N40" s="7"/>
      <c r="O40" s="7"/>
      <c r="P40" s="7"/>
      <c r="Q40" s="7"/>
      <c r="R40" s="7" t="s">
        <v>152</v>
      </c>
      <c r="S40" s="6" t="s">
        <v>48</v>
      </c>
      <c r="T40" s="17" t="e">
        <f>Stp_TTbl</f>
        <v>#REF!</v>
      </c>
      <c r="U40" s="18" t="e">
        <f>Stp_IInpFil</f>
        <v>#REF!</v>
      </c>
      <c r="V40" s="6"/>
      <c r="W40" s="6"/>
      <c r="X40" s="6"/>
    </row>
    <row r="41" spans="1:24" x14ac:dyDescent="0.35">
      <c r="A41" s="11" t="s">
        <v>10</v>
      </c>
      <c r="B41" s="4">
        <v>38</v>
      </c>
      <c r="C41" s="1" t="str">
        <f>T_Src[Gp]&amp;T_Src[Gseq]</f>
        <v>OB2</v>
      </c>
      <c r="D41" s="4" t="s">
        <v>99</v>
      </c>
      <c r="E41" s="4">
        <v>2</v>
      </c>
      <c r="F41" s="10" t="str">
        <f>T_Src[Np1]&amp;T_Src[Np2]&amp;T_Src[Np3]&amp;T_Src[N1]&amp;T_Src[N2]</f>
        <v>OW_TblNDef</v>
      </c>
      <c r="G41" s="7" t="s">
        <v>66</v>
      </c>
      <c r="H41" s="7" t="s">
        <v>88</v>
      </c>
      <c r="I41" s="4" t="s">
        <v>6</v>
      </c>
      <c r="J41" s="4" t="s">
        <v>18</v>
      </c>
      <c r="K41" s="4" t="s">
        <v>24</v>
      </c>
      <c r="L41" s="4" t="s">
        <v>54</v>
      </c>
      <c r="M41" s="4" t="s">
        <v>56</v>
      </c>
      <c r="N41" s="7"/>
      <c r="O41" s="7"/>
      <c r="P41" s="7"/>
      <c r="Q41" s="7"/>
      <c r="R41" s="7" t="s">
        <v>153</v>
      </c>
      <c r="S41" s="6" t="s">
        <v>52</v>
      </c>
      <c r="T41" s="17" t="e">
        <f>Stp_TTbl</f>
        <v>#REF!</v>
      </c>
      <c r="U41" s="18" t="e">
        <f>Stp_IInpFil</f>
        <v>#REF!</v>
      </c>
      <c r="V41" s="6"/>
      <c r="W41" s="6"/>
      <c r="X41" s="6"/>
    </row>
    <row r="42" spans="1:24" x14ac:dyDescent="0.35">
      <c r="A42" s="11" t="s">
        <v>10</v>
      </c>
      <c r="B42" s="4">
        <v>39</v>
      </c>
      <c r="C42" s="1" t="str">
        <f>T_Src[Gp]&amp;T_Src[Gseq]</f>
        <v>OB3</v>
      </c>
      <c r="D42" s="4" t="s">
        <v>99</v>
      </c>
      <c r="E42" s="4">
        <v>3</v>
      </c>
      <c r="F42" s="10" t="str">
        <f>T_Src[Np1]&amp;T_Src[Np2]&amp;T_Src[Np3]&amp;T_Src[N1]&amp;T_Src[N2]</f>
        <v>OW_TblExcess</v>
      </c>
      <c r="G42" s="7" t="s">
        <v>66</v>
      </c>
      <c r="H42" s="7" t="s">
        <v>88</v>
      </c>
      <c r="I42" s="4" t="s">
        <v>6</v>
      </c>
      <c r="J42" s="4" t="s">
        <v>18</v>
      </c>
      <c r="K42" s="4" t="s">
        <v>24</v>
      </c>
      <c r="L42" s="4" t="s">
        <v>54</v>
      </c>
      <c r="M42" s="4" t="s">
        <v>55</v>
      </c>
      <c r="N42" s="7"/>
      <c r="O42" s="7"/>
      <c r="P42" s="7"/>
      <c r="Q42" s="7"/>
      <c r="R42" s="7" t="s">
        <v>154</v>
      </c>
      <c r="S42" s="6" t="s">
        <v>52</v>
      </c>
      <c r="T42" s="17" t="e">
        <f>Stp_TTbl</f>
        <v>#REF!</v>
      </c>
      <c r="U42" s="18" t="e">
        <f>Stp_IInpFil</f>
        <v>#REF!</v>
      </c>
      <c r="V42" s="6"/>
      <c r="W42" s="6"/>
      <c r="X42" s="6"/>
    </row>
    <row r="43" spans="1:24" x14ac:dyDescent="0.35">
      <c r="A43" s="11" t="s">
        <v>10</v>
      </c>
      <c r="B43" s="4">
        <v>40</v>
      </c>
      <c r="C43" s="1" t="str">
        <f>T_Src[Gp]&amp;T_Src[Gseq]</f>
        <v>OB4</v>
      </c>
      <c r="D43" s="4" t="s">
        <v>99</v>
      </c>
      <c r="E43" s="4">
        <v>4</v>
      </c>
      <c r="F43" s="10" t="str">
        <f>T_Src[Np1]&amp;T_Src[Np2]&amp;T_Src[Np3]&amp;T_Src[N1]&amp;T_Src[N2]</f>
        <v>ErWrkTbl</v>
      </c>
      <c r="G43" s="7" t="s">
        <v>66</v>
      </c>
      <c r="H43" s="7" t="s">
        <v>88</v>
      </c>
      <c r="I43" s="4" t="s">
        <v>14</v>
      </c>
      <c r="J43" s="4"/>
      <c r="K43" s="4"/>
      <c r="L43" s="4" t="s">
        <v>169</v>
      </c>
      <c r="M43" s="4"/>
      <c r="N43" s="7"/>
      <c r="O43" s="7"/>
      <c r="P43" s="7"/>
      <c r="Q43" s="7"/>
      <c r="R43" s="7" t="s">
        <v>155</v>
      </c>
      <c r="S43" s="6" t="s">
        <v>79</v>
      </c>
      <c r="T43" s="18" t="e">
        <f>Stp_OW_TblDup</f>
        <v>#REF!</v>
      </c>
      <c r="U43" s="18" t="e">
        <f>Stp_OW_TblNDef</f>
        <v>#REF!</v>
      </c>
      <c r="V43" s="18" t="e">
        <f>Stp_OW_TblExcess</f>
        <v>#REF!</v>
      </c>
      <c r="W43" s="6"/>
      <c r="X43" s="6"/>
    </row>
    <row r="44" spans="1:24" x14ac:dyDescent="0.35">
      <c r="A44" s="11" t="s">
        <v>10</v>
      </c>
      <c r="B44" s="4">
        <v>41</v>
      </c>
      <c r="C44" s="1" t="str">
        <f>T_Src[Gp]&amp;T_Src[Gseq]</f>
        <v>Er1</v>
      </c>
      <c r="D44" s="4" t="s">
        <v>14</v>
      </c>
      <c r="E44" s="4">
        <v>1</v>
      </c>
      <c r="F44" s="10" t="str">
        <f>T_Src[Np1]&amp;T_Src[Np2]&amp;T_Src[Np3]&amp;T_Src[N1]&amp;T_Src[N2]</f>
        <v>Er</v>
      </c>
      <c r="G44" s="7" t="s">
        <v>66</v>
      </c>
      <c r="H44" s="7" t="s">
        <v>88</v>
      </c>
      <c r="I44" s="4" t="s">
        <v>14</v>
      </c>
      <c r="J44" s="4"/>
      <c r="K44" s="4"/>
      <c r="L44" s="4"/>
      <c r="M44" s="4"/>
      <c r="N44" s="7"/>
      <c r="O44" s="7"/>
      <c r="P44" s="7"/>
      <c r="Q44" s="7"/>
      <c r="R44" s="7" t="s">
        <v>156</v>
      </c>
      <c r="S44" s="6" t="s">
        <v>79</v>
      </c>
      <c r="T44" s="18" t="e">
        <f>Stp_OS_All</f>
        <v>#REF!</v>
      </c>
      <c r="U44" s="18" t="e">
        <f>Stp_OB_All</f>
        <v>#REF!</v>
      </c>
      <c r="V44" s="18" t="e">
        <f>Stp_OX_All</f>
        <v>#REF!</v>
      </c>
      <c r="W44" s="18" t="e">
        <f>Stp_OW_All</f>
        <v>#REF!</v>
      </c>
      <c r="X44" s="6"/>
    </row>
    <row r="45" spans="1:24" x14ac:dyDescent="0.35">
      <c r="A45" s="11" t="s">
        <v>10</v>
      </c>
      <c r="B45" s="4">
        <v>41</v>
      </c>
      <c r="C45" s="1" t="str">
        <f>T_Src[Gp]&amp;T_Src[Gseq]</f>
        <v>Er2</v>
      </c>
      <c r="D45" s="4" t="s">
        <v>14</v>
      </c>
      <c r="E45" s="4">
        <v>2</v>
      </c>
      <c r="F45" s="10" t="str">
        <f>T_Src[Np1]&amp;T_Src[Np2]&amp;T_Src[Np3]&amp;T_Src[N1]&amp;T_Src[N2]</f>
        <v>ErThw</v>
      </c>
      <c r="G45" s="7" t="s">
        <v>66</v>
      </c>
      <c r="H45" s="7" t="s">
        <v>89</v>
      </c>
      <c r="I45" s="4" t="s">
        <v>14</v>
      </c>
      <c r="J45" s="4"/>
      <c r="K45" s="4"/>
      <c r="L45" s="4" t="s">
        <v>91</v>
      </c>
      <c r="M45" s="4"/>
      <c r="N45" s="7"/>
      <c r="O45" s="7"/>
      <c r="P45" s="7"/>
      <c r="Q45" s="7"/>
      <c r="R45" s="7" t="s">
        <v>157</v>
      </c>
      <c r="S45" s="6" t="s">
        <v>79</v>
      </c>
      <c r="T45" s="18" t="e">
        <f>Stp_OS_All</f>
        <v>#REF!</v>
      </c>
      <c r="U45" s="18" t="e">
        <f>Stp_OB_All</f>
        <v>#REF!</v>
      </c>
      <c r="V45" s="18" t="e">
        <f>Stp_OX_All</f>
        <v>#REF!</v>
      </c>
      <c r="W45" s="18" t="e">
        <f>Stp_OW_All</f>
        <v>#REF!</v>
      </c>
      <c r="X45" s="6"/>
    </row>
    <row r="46" spans="1:24" x14ac:dyDescent="0.35">
      <c r="A46" s="11" t="s">
        <v>10</v>
      </c>
      <c r="B46" s="4">
        <v>42</v>
      </c>
      <c r="C46" s="1" t="str">
        <f>T_Src[Gp]&amp;T_Src[Gseq]</f>
        <v>Rslt1</v>
      </c>
      <c r="D46" s="7" t="s">
        <v>1</v>
      </c>
      <c r="E46" s="7">
        <v>1</v>
      </c>
      <c r="F46" s="10" t="str">
        <f>T_Src[Np1]&amp;T_Src[Np2]&amp;T_Src[Np3]&amp;T_Src[N1]&amp;T_Src[N2]</f>
        <v>RsltCn</v>
      </c>
      <c r="G46" s="7" t="s">
        <v>66</v>
      </c>
      <c r="H46" s="7" t="s">
        <v>88</v>
      </c>
      <c r="I46" s="7" t="s">
        <v>1</v>
      </c>
      <c r="J46" s="7"/>
      <c r="K46" s="7"/>
      <c r="L46" s="7" t="s">
        <v>80</v>
      </c>
      <c r="M46" s="7"/>
      <c r="N46" s="7"/>
      <c r="O46" s="7"/>
      <c r="P46" s="7"/>
      <c r="Q46" s="7"/>
      <c r="R46" s="7" t="s">
        <v>158</v>
      </c>
      <c r="S46" s="6" t="s">
        <v>82</v>
      </c>
      <c r="T46" s="18" t="e">
        <f>Stp_TTbl</f>
        <v>#REF!</v>
      </c>
      <c r="U46" s="6"/>
      <c r="V46" s="6"/>
      <c r="W46" s="6"/>
      <c r="X46" s="6"/>
    </row>
    <row r="47" spans="1:24" x14ac:dyDescent="0.35">
      <c r="A47" s="11" t="s">
        <v>10</v>
      </c>
      <c r="B47" s="4">
        <v>43</v>
      </c>
      <c r="C47" s="1" t="str">
        <f>T_Src[Gp]&amp;T_Src[Gseq]</f>
        <v>Rslt2</v>
      </c>
      <c r="D47" s="7" t="s">
        <v>1</v>
      </c>
      <c r="E47" s="7">
        <v>2</v>
      </c>
      <c r="F47" s="10" t="str">
        <f>T_Src[Np1]&amp;T_Src[Np2]&amp;T_Src[Np3]&amp;T_Src[N1]&amp;T_Src[N2]</f>
        <v>RsltSql</v>
      </c>
      <c r="G47" s="7" t="s">
        <v>94</v>
      </c>
      <c r="H47" s="7" t="s">
        <v>88</v>
      </c>
      <c r="I47" s="7" t="s">
        <v>1</v>
      </c>
      <c r="J47" s="7"/>
      <c r="K47" s="7"/>
      <c r="L47" s="7" t="s">
        <v>81</v>
      </c>
      <c r="M47" s="7"/>
      <c r="N47" s="7"/>
      <c r="O47" s="7"/>
      <c r="P47" s="7"/>
      <c r="Q47" s="7"/>
      <c r="R47" s="7" t="s">
        <v>159</v>
      </c>
      <c r="S47" s="6" t="s">
        <v>81</v>
      </c>
      <c r="T47" s="18" t="e">
        <f>Stp_TTbl</f>
        <v>#REF!</v>
      </c>
      <c r="U47" s="17" t="e">
        <f>Stp_TTbl</f>
        <v>#REF!</v>
      </c>
      <c r="V47" s="6"/>
      <c r="W47" s="6"/>
      <c r="X47" s="6"/>
    </row>
    <row r="48" spans="1:24" x14ac:dyDescent="0.35">
      <c r="A48" s="11"/>
      <c r="B48" s="4">
        <v>44</v>
      </c>
      <c r="C48" s="1" t="str">
        <f>T_Src[Gp]&amp;T_Src[Gseq]</f>
        <v>Main</v>
      </c>
      <c r="D48" s="7" t="s">
        <v>100</v>
      </c>
      <c r="E48" s="7"/>
      <c r="F48" s="10" t="str">
        <f>T_Src[Np1]&amp;T_Src[Np2]&amp;T_Src[Np3]&amp;T_Src[N1]&amp;T_Src[N2]</f>
        <v>LnkImp</v>
      </c>
      <c r="G48" s="7"/>
      <c r="H48" s="7" t="s">
        <v>89</v>
      </c>
      <c r="I48" s="7"/>
      <c r="J48" s="7"/>
      <c r="K48" s="7"/>
      <c r="L48" s="7" t="s">
        <v>16</v>
      </c>
      <c r="M48" s="7"/>
      <c r="N48" s="7"/>
      <c r="O48" s="7"/>
      <c r="P48" s="7"/>
      <c r="Q48" s="7"/>
      <c r="R48" s="7" t="s">
        <v>160</v>
      </c>
      <c r="S48" s="6"/>
      <c r="T48" s="18" t="e">
        <f>Stp_RsltCn</f>
        <v>#REF!</v>
      </c>
      <c r="U48" s="18" t="e">
        <f>Stp_RsltSql</f>
        <v>#REF!</v>
      </c>
      <c r="V48" s="6"/>
      <c r="W48" s="6"/>
      <c r="X48" s="6"/>
    </row>
    <row r="49" spans="1:24" x14ac:dyDescent="0.35">
      <c r="A49" s="6" t="s">
        <v>166</v>
      </c>
      <c r="B49" s="4"/>
      <c r="C49" s="19" t="str">
        <f>T_Src[Gp]&amp;T_Src[Gseq]</f>
        <v/>
      </c>
      <c r="D49" s="13"/>
      <c r="E49" s="13"/>
      <c r="F49" s="12" t="str">
        <f>T_Src[Np1]&amp;T_Src[Np2]&amp;T_Src[Np3]&amp;T_Src[N1]&amp;T_Src[N2]</f>
        <v/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6"/>
      <c r="T49" s="18"/>
      <c r="U49" s="18"/>
      <c r="V49" s="6"/>
      <c r="W49" s="6"/>
      <c r="X49" s="6"/>
    </row>
  </sheetData>
  <hyperlinks>
    <hyperlink ref="T4" location="Stp_InpFilSrc" display="Stp_InpFilSrc" xr:uid="{DD02BB2B-044D-403D-8F14-7AEC3D73A44E}"/>
    <hyperlink ref="T5" location="Stp_LnkImpSrc" display="Stp_LnkImpSrc" xr:uid="{9A66EEC9-B225-474D-9BDE-56985251550C}"/>
    <hyperlink ref="T7" location="Stp_ILnkImp" display="Stp_ILnkImp" xr:uid="{75853858-C68B-426C-9C4A-38E6CDFD2B3F}"/>
    <hyperlink ref="T8" location="Stp_ILnkImp" display="Stp_ILnkImp" xr:uid="{F5BBBAB8-EF11-452E-A0B0-962A50B31F41}"/>
    <hyperlink ref="T9" location="Stp_ILnkImp" display="Stp_ILnkImp" xr:uid="{1D892E20-63EE-4A98-8FD3-7FF67DEF14D6}"/>
    <hyperlink ref="T10" location="Stp_ILnkImp" display="Stp_ILnkImp" xr:uid="{398EE4C3-FBC8-4084-88A5-0C5BEE25B60E}"/>
    <hyperlink ref="T11" location="Stp_ILnkImp" display="Stp_ILnkImp" xr:uid="{22E6431F-4331-4287-9AE0-F6E36CA9AE4D}"/>
    <hyperlink ref="T12" location="Stp_JFxTbl" display="Stp_JFxTbl" xr:uid="{9778E5AD-76DE-4B31-B102-BE73083918C8}"/>
    <hyperlink ref="U12" location="Stp_JFbTbl" display="Stp_JFbTbl" xr:uid="{A6F504EA-E814-4811-8980-08F1B381F281}"/>
    <hyperlink ref="T13" location="Stp_TTbl" display="Stp_TTbl" xr:uid="{0841A6F3-D2CB-4416-8E0C-08548BB55A7A}"/>
    <hyperlink ref="U13" location="Stp_JStruF" display="Stp_JStruF" xr:uid="{0AB2FA13-DECB-4C71-88C3-8FB983541A44}"/>
    <hyperlink ref="T14" location="Stp_TTbl" display="Stp_TTbl" xr:uid="{635475D8-FB8A-4517-83A0-C15BDD58E8CD}"/>
    <hyperlink ref="T15" location="Stp_JFxTbl" display="Stp_JFxTbl" xr:uid="{8B87BF9C-2A73-45E2-9C3C-B5888CEEAE32}"/>
    <hyperlink ref="U15" location="Stp_IInpFil" display="Stp_IInpFil" xr:uid="{C2BA81D0-1E69-49FA-8957-E8084F4EF9DE}"/>
    <hyperlink ref="T16" location="Stp_JFxTbl" display="Stp_JFxTbl" xr:uid="{5116673D-ABDD-44D5-B29A-1E94D8DBFE9D}"/>
    <hyperlink ref="U16" location="Stp_IInpFil" display="Stp_IInpFil" xr:uid="{5090DB24-1EE4-43A2-9D90-9B8D7904C742}"/>
    <hyperlink ref="T17" location="Stp_TTbl" display="Stp_TTbl" xr:uid="{A0BCB44A-C01B-4952-81C8-333A50CC5FAC}"/>
    <hyperlink ref="U17" location="Stp_IInpFil" display="Stp_IInpFil" xr:uid="{431918FD-9A08-46FB-ADA9-974641D30CFA}"/>
    <hyperlink ref="T18" location="Stp_TETblFld" display="Stp_TETblFld" xr:uid="{75741998-D353-42FA-B659-2AE305EBB6C8}"/>
    <hyperlink ref="U18" location="Stp_IInpFil" display="Stp_IInpFil" xr:uid="{57BFFA5F-6FA2-47B8-90E4-44B33268ADF4}"/>
    <hyperlink ref="U19" location="Stp_IInpFil" display="Stp_IInpFil" xr:uid="{13F27331-1448-4538-93D9-3A9007D2DF3F}"/>
    <hyperlink ref="T20" location="Stp_OU_FfnNFnd" display="Stp_OU_FfnNFnd" xr:uid="{E61A64BD-3960-47A1-96D5-30AFBFD628A6}"/>
    <hyperlink ref="U20" location="Stp_OU_FbtNFnd" display="Stp_OU_FbtNFnd" xr:uid="{0E5D53FB-B508-4E74-9EB5-A794ECEC17D1}"/>
    <hyperlink ref="V20" location="Stp_OU_WsnNFnd" display="Stp_OU_WsnNFnd" xr:uid="{1226BC08-4A53-4E30-A112-9369C29DD938}"/>
    <hyperlink ref="W20" location="Stp_OU_FxExtnNFnd" display="Stp_OU_FxExtnNFnd" xr:uid="{A4B15AF6-8CBF-402E-BBF2-274F920D8F18}"/>
    <hyperlink ref="X20" location="Stp_OU_FxFldTyNMch" display="Stp_OU_FxFldTyNMch" xr:uid="{723A9052-C22F-466E-9B4E-0E8BF1FFA89F}"/>
    <hyperlink ref="T21" location="Stp_OU_FbtNFnd" display="Stp_OU_FbtNFnd" xr:uid="{588C29C9-D6BD-45BB-AF03-4670CF5ACDC8}"/>
    <hyperlink ref="U21" location="Stp_OU_WsnNFnd" display="Stp_OU_WsnNFnd" xr:uid="{216581DC-AB28-4EF1-9117-926DE32F9CAD}"/>
    <hyperlink ref="V21" location="Stp_OU_FxExtnNFnd" display="Stp_OU_FxExtnNFnd" xr:uid="{ECF2B4F7-A024-4B8A-8893-A604C016C841}"/>
    <hyperlink ref="W21" location="Stp_OU_FxFldTyNMch" display="Stp_OU_FxFldTyNMch" xr:uid="{587A5AA6-F0AE-4BB8-9BDE-31BC0B00B83D}"/>
    <hyperlink ref="X21" location="Stp_OU_All" display="Stp_OU_All" xr:uid="{22683CE9-E189-43C4-A023-97ADDF9E2152}"/>
    <hyperlink ref="U22" location="Stp_IInpFil" display="Stp_IInpFil" xr:uid="{88EEA296-E57E-48D0-87E7-0F5C97C45856}"/>
    <hyperlink ref="T23" location="Stp_JStru" display="Stp_JStru" xr:uid="{968E34EE-4CAA-49D5-B3EA-2832525F18E6}"/>
    <hyperlink ref="U23" location="Stp_IInpFil" display="Stp_IInpFil" xr:uid="{606F10E3-8844-4AE5-A358-3B3186DD6F05}"/>
    <hyperlink ref="U24" location="Stp_IInpFil" display="Stp_IInpFil" xr:uid="{21025715-43B7-4E88-92B9-8598B65BE8AA}"/>
    <hyperlink ref="T25" location="Stp_JStru" display="Stp_JStru" xr:uid="{022D3EA1-C375-4FF6-B15F-63D273B9A749}"/>
    <hyperlink ref="U25" location="Stp_IInpFil" display="Stp_IInpFil" xr:uid="{423B98F7-88BC-49BF-85C3-69ED3621AFBF}"/>
    <hyperlink ref="T26" location="Stp_JStru" display="Stp_JStru" xr:uid="{E199482D-4B77-45AF-B9C4-EF6D961636E7}"/>
    <hyperlink ref="U26" location="Stp_IInpFil" display="Stp_IInpFil" xr:uid="{31CD7E14-2785-423A-B040-5E6AFE7FB498}"/>
    <hyperlink ref="U27" location="Stp_IInpFil" display="Stp_IInpFil" xr:uid="{E4DDCA72-7099-45E7-9F19-5D1BEC2FA518}"/>
    <hyperlink ref="U28" location="Stp_IInpFil" display="Stp_IInpFil" xr:uid="{DF1E5366-57A7-4BE1-BCA1-1DE5EE34BC46}"/>
    <hyperlink ref="T29" location="Stp_OS_FldDup" display="Stp_OS_FldDup" xr:uid="{5480FA30-0CE4-4399-B9A6-0EEFD333ADFF}"/>
    <hyperlink ref="U29" location="Stp_OS_StruDup" display="Stp_OS_StruDup" xr:uid="{61C19CE0-824C-478C-89C4-13647CCFF947}"/>
    <hyperlink ref="V29" location="Stp_OS_FldTyEr" display="Stp_OS_FldTyEr" xr:uid="{C117BD7A-5D6E-4814-9F5D-152A9884EB88}"/>
    <hyperlink ref="W29" location="Stp_OS_StruExcess" display="Stp_OS_StruExcess" xr:uid="{7EA7F8EF-21DA-4A53-8D42-5BC3F020102B}"/>
    <hyperlink ref="X29" location="Stp_OS_StruInUse" display="Stp_OS_StruInUse" xr:uid="{07DAAAE0-BA1E-4183-87B7-8D0F9152A13F}"/>
    <hyperlink ref="T30" location="Stp_OS_FxFldTyMis" display="Stp_OS_FxFldTyMis" xr:uid="{ABA7CAFA-FF8C-4990-A5F7-454C42B706F7}"/>
    <hyperlink ref="U30" location="Stp_OS_FldMis" display="Stp_OS_FldMis" xr:uid="{23B079B7-693D-4D80-8201-472F4F801CC4}"/>
    <hyperlink ref="T31" location="Stp_OS_1" display="Stp_OS_1" xr:uid="{D025E650-798A-421D-970B-6C52ABA8E660}"/>
    <hyperlink ref="U31" location="Stp_OS_2" display="Stp_OS_2" xr:uid="{86859C41-95EC-471E-80A6-21347EDB08B0}"/>
    <hyperlink ref="T32" location="Stp_JStru" display="Stp_JStru" xr:uid="{0D86FAF5-132B-4E02-840D-D38DBCF9EB7D}"/>
    <hyperlink ref="U32" location="Stp_IInpFil" display="Stp_IInpFil" xr:uid="{EF8C82C9-E814-4E98-BFC5-C56D20065BB8}"/>
    <hyperlink ref="U33" location="Stp_IInpFil" display="Stp_IInpFil" xr:uid="{31AC4D78-9F78-485A-B427-7166A276A1AC}"/>
    <hyperlink ref="U34" location="Stp_IInpFil" display="Stp_IInpFil" xr:uid="{EC3B9120-9FC7-4912-A9D0-EE34F7D64C25}"/>
    <hyperlink ref="T35" location="Stp_JStru" display="Stp_JStru" xr:uid="{E4D14EE4-79ED-4C38-92F3-6DEC980FCA66}"/>
    <hyperlink ref="U35" location="Stp_IInpFil" display="Stp_IInpFil" xr:uid="{CF0D498D-E9C6-467B-89AA-5D369B8B2A66}"/>
    <hyperlink ref="T36" location="Stp_OX_StruNDef" display="Stp_OX_StruNDef" xr:uid="{6CF19393-1E82-44F0-A322-9DEB44D1BB3D}"/>
    <hyperlink ref="U36" location="Stp_OX_FxtDup" display="Stp_OX_FxtDup" xr:uid="{7C7A085A-7A2E-4F33-8613-F12E2B6355F1}"/>
    <hyperlink ref="V36" location="Stp_OX_All" display="Stp_OX_All" xr:uid="{7C10F4CE-3CB0-475F-B028-D438E7897DC4}"/>
    <hyperlink ref="U37" location="Stp_IInpFil" display="Stp_IInpFil" xr:uid="{A462BEF6-D814-4A24-8BB6-ACADEAAA19E0}"/>
    <hyperlink ref="U38" location="Stp_IInpFil" display="Stp_IInpFil" xr:uid="{25CB692B-564E-4787-9718-E54C78B62C0A}"/>
    <hyperlink ref="T39" location="Stp_OB_StruNDef" display="Stp_OB_StruNDef" xr:uid="{054D929F-50E9-462A-9D39-E17E4505A4ED}"/>
    <hyperlink ref="U39" location="Stp_OB_FbnNDef" display="Stp_OB_FbnNDef" xr:uid="{64BC77BB-53AA-4630-867D-1BD8642A9D47}"/>
    <hyperlink ref="V39" location="Stp_OB_FbtMis" display="Stp_OB_FbtMis" xr:uid="{5B9B1BC3-6476-4E12-BBA8-3770E58329AD}"/>
    <hyperlink ref="T40" location="Stp_TTbl" display="Stp_TTbl" xr:uid="{8B005AD9-4EA6-4298-966F-35E89AB5E90D}"/>
    <hyperlink ref="U40" location="Stp_IInpFil" display="Stp_IInpFil" xr:uid="{4CFCAD4C-BF42-4222-A959-9EBCB87877C7}"/>
    <hyperlink ref="T41" location="Stp_TTbl" display="Stp_TTbl" xr:uid="{F50A492C-BECB-4662-8ADB-C899B13FBA32}"/>
    <hyperlink ref="U41" location="Stp_IInpFil" display="Stp_IInpFil" xr:uid="{BA5B1A4E-5DDE-49D6-93F7-C32596D973FE}"/>
    <hyperlink ref="T42" location="Stp_TTbl" display="Stp_TTbl" xr:uid="{90EE0042-D834-42BB-AE75-CA54E0310F9B}"/>
    <hyperlink ref="U42" location="Stp_IInpFil" display="Stp_IInpFil" xr:uid="{11F5DE93-53FA-42F8-A634-CF0E2A06CDD3}"/>
    <hyperlink ref="T43" location="Stp_OW_TblDup" display="Stp_OW_TblDup" xr:uid="{57D168B8-2FEA-40A0-B446-E044F2445CC2}"/>
    <hyperlink ref="U43" location="Stp_OW_TblNDef" display="Stp_OW_TblNDef" xr:uid="{7FAC43B8-3087-4354-88C0-FB59A86DDEBA}"/>
    <hyperlink ref="V43" location="Stp_OW_TblExcess" display="Stp_OW_TblExcess" xr:uid="{F5484376-4A31-4638-BB7E-FD29494A6AAD}"/>
    <hyperlink ref="T44" location="Stp_OS_All" display="Stp_OS_All" xr:uid="{B961BFDC-E0F7-400E-B3CA-3B24ED9EF28F}"/>
    <hyperlink ref="U44" location="Stp_OB_All" display="Stp_OB_All" xr:uid="{555E9D57-6909-4584-90EA-8A079936444F}"/>
    <hyperlink ref="V44" location="Stp_OX_All" display="Stp_OX_All" xr:uid="{778E5396-97F4-4BF3-9979-531C250C9623}"/>
    <hyperlink ref="W44" location="Stp_OW_All" display="Stp_OW_All" xr:uid="{58E8795F-657B-4924-814F-AACC2096A6DD}"/>
    <hyperlink ref="T45" location="Stp_OS_All" display="Stp_OS_All" xr:uid="{8F3E3304-F9B4-4C4F-92A7-282D9EB05CA1}"/>
    <hyperlink ref="U45" location="Stp_OB_All" display="Stp_OB_All" xr:uid="{12F55CFB-12BF-4C54-A9DF-4A7277EA1311}"/>
    <hyperlink ref="V45" location="Stp_OX_All" display="Stp_OX_All" xr:uid="{5CEEEC93-F87B-48FA-B21B-6CC1C5DA628B}"/>
    <hyperlink ref="W45" location="Stp_OW_All" display="Stp_OW_All" xr:uid="{7D5350A4-54F9-4746-85CD-B2044A243A6A}"/>
    <hyperlink ref="T46" location="Stp_TTbl" display="Stp_TTbl" xr:uid="{0B8C19D1-14EB-4814-AA2F-EEBB9880CB51}"/>
    <hyperlink ref="T47" location="Stp_TTbl" display="Stp_TTbl" xr:uid="{D10D25E8-0657-48A1-A774-F995BCCDC331}"/>
    <hyperlink ref="U47" location="Stp_TTbl" display="Stp_TTbl" xr:uid="{29E1135B-7D7C-4D50-9C8E-9852DC880003}"/>
    <hyperlink ref="T48" location="Stp_RsltCn" display="Stp_RsltCn" xr:uid="{FE729023-0B20-4DD6-8947-F8AC85FD921C}"/>
    <hyperlink ref="U48" location="Stp_RsltSql" display="Stp_RsltSql" xr:uid="{06761104-305A-4AD7-BB78-A860088493F9}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6D17A-E0C7-4788-8C01-16C2A20C9E1A}">
  <sheetPr codeName="WsGenMod"/>
  <dimension ref="A1:A3"/>
  <sheetViews>
    <sheetView tabSelected="1" workbookViewId="0">
      <selection activeCell="C4" sqref="C4"/>
    </sheetView>
  </sheetViews>
  <sheetFormatPr defaultRowHeight="14.5" x14ac:dyDescent="0.35"/>
  <sheetData>
    <row r="1" spans="1:1" ht="32" customHeight="1" x14ac:dyDescent="0.35"/>
    <row r="2" spans="1:1" x14ac:dyDescent="0.35">
      <c r="A2" s="16" t="s">
        <v>84</v>
      </c>
    </row>
    <row r="3" spans="1:1" x14ac:dyDescent="0.35">
      <c r="A3" s="16" t="s">
        <v>85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WsGenMod.GenMod_Click">
                <anchor moveWithCells="1" sizeWithCells="1">
                  <from>
                    <xdr:col>0</xdr:col>
                    <xdr:colOff>146050</xdr:colOff>
                    <xdr:row>0</xdr:row>
                    <xdr:rowOff>95250</xdr:rowOff>
                  </from>
                  <to>
                    <xdr:col>2</xdr:col>
                    <xdr:colOff>476250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SrcCd</vt:lpstr>
      <vt:lpstr>Src</vt:lpstr>
      <vt:lpstr>GenMod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2019-05-18T23:17:38Z</dcterms:created>
  <dcterms:modified xsi:type="dcterms:W3CDTF">2019-05-23T12:15:24Z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mdLoadSrcCd_1" visible="true" label="CmdLoadSrcCd" imageMso="ListMacros" onAction="CmdLoadSrcCd"/>
      </mso:documentControls>
    </mso:qat>
  </mso:ribbon>
</mso:customUI>
</file>